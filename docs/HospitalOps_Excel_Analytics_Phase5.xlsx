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StatePerf" sheetId="2" state="visible" r:id="rId4"/>
    <sheet name="AnomalyDetection" sheetId="3" state="visible" r:id="rId5"/>
    <sheet name="ReadmissionRisk" sheetId="4" state="visible" r:id="rId6"/>
    <sheet name="SafetyPerformance" sheetId="5" state="visible" r:id="rId7"/>
    <sheet name="Access DB Schema" sheetId="6" state="visible" r:id="rId8"/>
    <sheet name="Formula Referen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<sst xmlns="http://schemas.openxmlformats.org/spreadsheetml/2006/main" count="802" uniqueCount="373">
  <si>
    <t xml:space="preserve">US HOSPITAL OPERATIONS – PERFORMANCE INTELLIGENCE DASHBOARD</t>
  </si>
  <si>
    <t xml:space="preserve">Source: CMS Hospital Compare  |  Data Year: 2023–2024  |  Scope: 50 States + DC  |  Hospitals Analyzed: 5,000+</t>
  </si>
  <si>
    <t xml:space="preserve">KEY PERFORMANCE INDICATORS</t>
  </si>
  <si>
    <t xml:space="preserve">National Avg
Star Rating</t>
  </si>
  <si>
    <t xml:space="preserve">Total Hospitals
Analyzed</t>
  </si>
  <si>
    <t xml:space="preserve">Statistical
Anomalies</t>
  </si>
  <si>
    <t xml:space="preserve">States
Above Avg</t>
  </si>
  <si>
    <t xml:space="preserve">High Readmission
Risk %</t>
  </si>
  <si>
    <t xml:space="preserve">Top Performing
State</t>
  </si>
  <si>
    <t xml:space="preserve">Utah</t>
  </si>
  <si>
    <t xml:space="preserve">★ Quality</t>
  </si>
  <si>
    <t xml:space="preserve"># Facilities</t>
  </si>
  <si>
    <t xml:space="preserve">⚠ Outliers</t>
  </si>
  <si>
    <t xml:space="preserve">📈 States</t>
  </si>
  <si>
    <t xml:space="preserve">🏥 Readmit</t>
  </si>
  <si>
    <t xml:space="preserve">⭐ Leader</t>
  </si>
  <si>
    <t xml:space="preserve">STATE PERFORMANCE SUMMARY (Top 10 &amp; Bottom 5)</t>
  </si>
  <si>
    <t xml:space="preserve">Rank</t>
  </si>
  <si>
    <t xml:space="preserve">State</t>
  </si>
  <si>
    <t xml:space="preserve">Avg Star Rating</t>
  </si>
  <si>
    <t xml:space="preserve">Total Hospitals</t>
  </si>
  <si>
    <t xml:space="preserve">5-Star Hospitals</t>
  </si>
  <si>
    <t xml:space="preserve">1-Star Hospitals</t>
  </si>
  <si>
    <t xml:space="preserve">vs National Avg</t>
  </si>
  <si>
    <t xml:space="preserve">Anomaly Hospitals</t>
  </si>
  <si>
    <t xml:space="preserve">Readmit Risk</t>
  </si>
  <si>
    <t xml:space="preserve">Safety Percentile</t>
  </si>
  <si>
    <t xml:space="preserve">Performance Tier</t>
  </si>
  <si>
    <t xml:space="preserve">Trend</t>
  </si>
  <si>
    <t xml:space="preserve">+1.03</t>
  </si>
  <si>
    <t xml:space="preserve">8.7%</t>
  </si>
  <si>
    <t xml:space="preserve">92nd</t>
  </si>
  <si>
    <t xml:space="preserve">Top</t>
  </si>
  <si>
    <t xml:space="preserve">▲</t>
  </si>
  <si>
    <t xml:space="preserve">South Dakota</t>
  </si>
  <si>
    <t xml:space="preserve">+0.89</t>
  </si>
  <si>
    <t xml:space="preserve">9.1%</t>
  </si>
  <si>
    <t xml:space="preserve">89th</t>
  </si>
  <si>
    <t xml:space="preserve">Wisconsin</t>
  </si>
  <si>
    <t xml:space="preserve">+0.77</t>
  </si>
  <si>
    <t xml:space="preserve">11.2%</t>
  </si>
  <si>
    <t xml:space="preserve">87th</t>
  </si>
  <si>
    <t xml:space="preserve">Nebraska</t>
  </si>
  <si>
    <t xml:space="preserve">+0.74</t>
  </si>
  <si>
    <t xml:space="preserve">10.8%</t>
  </si>
  <si>
    <t xml:space="preserve">85th</t>
  </si>
  <si>
    <t xml:space="preserve">Colorado</t>
  </si>
  <si>
    <t xml:space="preserve">+0.70</t>
  </si>
  <si>
    <t xml:space="preserve">12.1%</t>
  </si>
  <si>
    <t xml:space="preserve">83rd</t>
  </si>
  <si>
    <t xml:space="preserve">Minnesota</t>
  </si>
  <si>
    <t xml:space="preserve">+0.67</t>
  </si>
  <si>
    <t xml:space="preserve">11.9%</t>
  </si>
  <si>
    <t xml:space="preserve">82nd</t>
  </si>
  <si>
    <t xml:space="preserve">Idaho</t>
  </si>
  <si>
    <t xml:space="preserve">+0.64</t>
  </si>
  <si>
    <t xml:space="preserve">13.4%</t>
  </si>
  <si>
    <t xml:space="preserve">80th</t>
  </si>
  <si>
    <t xml:space="preserve">→</t>
  </si>
  <si>
    <t xml:space="preserve">Iowa</t>
  </si>
  <si>
    <t xml:space="preserve">+0.61</t>
  </si>
  <si>
    <t xml:space="preserve">12.7%</t>
  </si>
  <si>
    <t xml:space="preserve">79th</t>
  </si>
  <si>
    <t xml:space="preserve">Montana</t>
  </si>
  <si>
    <t xml:space="preserve">+0.58</t>
  </si>
  <si>
    <t xml:space="preserve">14.1%</t>
  </si>
  <si>
    <t xml:space="preserve">77th</t>
  </si>
  <si>
    <t xml:space="preserve">Oregon</t>
  </si>
  <si>
    <t xml:space="preserve">+0.56</t>
  </si>
  <si>
    <t xml:space="preserve">14.3%</t>
  </si>
  <si>
    <t xml:space="preserve">76th</t>
  </si>
  <si>
    <t xml:space="preserve">New Jersey</t>
  </si>
  <si>
    <t xml:space="preserve">-0.40</t>
  </si>
  <si>
    <t xml:space="preserve">88.7%</t>
  </si>
  <si>
    <t xml:space="preserve">22nd</t>
  </si>
  <si>
    <t xml:space="preserve">Bottom</t>
  </si>
  <si>
    <t xml:space="preserve">▼</t>
  </si>
  <si>
    <t xml:space="preserve">Louisiana</t>
  </si>
  <si>
    <t xml:space="preserve">-0.49</t>
  </si>
  <si>
    <t xml:space="preserve">84.2%</t>
  </si>
  <si>
    <t xml:space="preserve">18th</t>
  </si>
  <si>
    <t xml:space="preserve">Washington DC</t>
  </si>
  <si>
    <t xml:space="preserve">-0.58</t>
  </si>
  <si>
    <t xml:space="preserve">81.5%</t>
  </si>
  <si>
    <t xml:space="preserve">14th</t>
  </si>
  <si>
    <t xml:space="preserve">Alabama</t>
  </si>
  <si>
    <t xml:space="preserve">-0.70</t>
  </si>
  <si>
    <t xml:space="preserve">79.3%</t>
  </si>
  <si>
    <t xml:space="preserve">11th</t>
  </si>
  <si>
    <t xml:space="preserve">Mississippi</t>
  </si>
  <si>
    <t xml:space="preserve">-0.88</t>
  </si>
  <si>
    <t xml:space="preserve">76.1%</t>
  </si>
  <si>
    <t xml:space="preserve">6th</t>
  </si>
  <si>
    <t xml:space="preserve">Built by Sukhraj Singh  |  hospital-ops-bi  |  github.com/SUKHRAJSINGH7/hospital-ops-bi  |  Dashboard: Tableau Public</t>
  </si>
  <si>
    <t xml:space="preserve">Performance vs National</t>
  </si>
  <si>
    <t xml:space="preserve">5-Star Count</t>
  </si>
  <si>
    <t xml:space="preserve">1-Star Count</t>
  </si>
  <si>
    <t xml:space="preserve">Anomaly Count</t>
  </si>
  <si>
    <t xml:space="preserve">Star Rating Index</t>
  </si>
  <si>
    <t xml:space="preserve">Below</t>
  </si>
  <si>
    <t xml:space="preserve">Alaska</t>
  </si>
  <si>
    <t xml:space="preserve">Above</t>
  </si>
  <si>
    <t xml:space="preserve">Arizona</t>
  </si>
  <si>
    <t xml:space="preserve">Arkansas</t>
  </si>
  <si>
    <t xml:space="preserve">California</t>
  </si>
  <si>
    <t xml:space="preserve">Connecticut</t>
  </si>
  <si>
    <t xml:space="preserve">Delaware</t>
  </si>
  <si>
    <t xml:space="preserve">District of Col.</t>
  </si>
  <si>
    <t xml:space="preserve">Florida</t>
  </si>
  <si>
    <t xml:space="preserve">Georgia</t>
  </si>
  <si>
    <t xml:space="preserve">Hawaii</t>
  </si>
  <si>
    <t xml:space="preserve">Illinois</t>
  </si>
  <si>
    <t xml:space="preserve">Indiana</t>
  </si>
  <si>
    <t xml:space="preserve">Kansas</t>
  </si>
  <si>
    <t xml:space="preserve">Kentucky</t>
  </si>
  <si>
    <t xml:space="preserve">Maine</t>
  </si>
  <si>
    <t xml:space="preserve">Maryland</t>
  </si>
  <si>
    <t xml:space="preserve">Massachusetts</t>
  </si>
  <si>
    <t xml:space="preserve">Michigan</t>
  </si>
  <si>
    <t xml:space="preserve">Missouri</t>
  </si>
  <si>
    <t xml:space="preserve">Nevada</t>
  </si>
  <si>
    <t xml:space="preserve">New Hampshire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</si>
  <si>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</si>
  <si>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</si>
  <si>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</si>
  <si>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</si>
  <si>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</si>
  <si>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</si>
  <si>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Pennsylvania</t>
  </si>
  <si>
    <t xml:space="preserve">Rhode Island</t>
  </si>
  <si>
    <t xml:space="preserve">South Carolina</t>
  </si>
  <si>
    <t xml:space="preserve">Tennessee</t>
  </si>
  <si>
    <t xml:space="preserve">Texas</t>
  </si>
  <si>
    <t xml:space="preserve">Vermont</t>
  </si>
  <si>
    <t xml:space="preserve">Virginia</t>
  </si>
  <si>
    <t xml:space="preserve">Washington</t>
  </si>
  <si>
    <t xml:space="preserve">West Virginia</t>
  </si>
  <si>
    <t xml:space="preserve">Wyoming</t>
  </si>
  <si>
    <t xml:space="preserve">NATIONAL AVERAGE</t>
  </si>
  <si>
    <t xml:space="preserve">STATISTICAL ANOMALY DETECTION – Hospitals ≥ 2 Standard Deviations Below National Mean</t>
  </si>
  <si>
    <t xml:space="preserve">METHODOLOGY: National average star rating = 3.21 | Standard deviation = 1.02 | Anomaly threshold = 3.21 − (2 × 1.02) = 1.17 | Flagged hospitals: 199 | Formula: =IF(StarRating &lt; NatlAvg-(2*StdDev), "ANOMALY", "Normal")</t>
  </si>
  <si>
    <t xml:space="preserve">STATISTICAL PARAMETERS</t>
  </si>
  <si>
    <t xml:space="preserve">VALUE</t>
  </si>
  <si>
    <t xml:space="preserve">National Avg Star Rating</t>
  </si>
  <si>
    <t xml:space="preserve">Std Deviation</t>
  </si>
  <si>
    <t xml:space="preserve">Anomaly Threshold (−2σ)</t>
  </si>
  <si>
    <t xml:space="preserve">Total Anomalies</t>
  </si>
  <si>
    <t xml:space="preserve">Hospital Name</t>
  </si>
  <si>
    <t xml:space="preserve">Star Rating</t>
  </si>
  <si>
    <t xml:space="preserve">Std Dev from Mean</t>
  </si>
  <si>
    <t xml:space="preserve">Anomaly Flag</t>
  </si>
  <si>
    <t xml:space="preserve">Ownership Type</t>
  </si>
  <si>
    <t xml:space="preserve">Emergency Services</t>
  </si>
  <si>
    <t xml:space="preserve">Hospital Type</t>
  </si>
  <si>
    <t xml:space="preserve">Risk Level</t>
  </si>
  <si>
    <t xml:space="preserve">Action Priority</t>
  </si>
  <si>
    <t xml:space="preserve">Mizell Memorial Hospital</t>
  </si>
  <si>
    <t xml:space="preserve">AL</t>
  </si>
  <si>
    <t xml:space="preserve">Government</t>
  </si>
  <si>
    <t xml:space="preserve">Yes</t>
  </si>
  <si>
    <t xml:space="preserve">Critical Access Hospital</t>
  </si>
  <si>
    <t xml:space="preserve">CRITICAL</t>
  </si>
  <si>
    <t xml:space="preserve">Immediate Review</t>
  </si>
  <si>
    <t xml:space="preserve">Elmore Community Hospital</t>
  </si>
  <si>
    <t xml:space="preserve">Acute Care Hospital</t>
  </si>
  <si>
    <t xml:space="preserve">Grady Memorial Hospital</t>
  </si>
  <si>
    <t xml:space="preserve">Proprietary</t>
  </si>
  <si>
    <t xml:space="preserve">Pickens County Medical Center</t>
  </si>
  <si>
    <t xml:space="preserve">No</t>
  </si>
  <si>
    <t xml:space="preserve">HOPE Medical Center</t>
  </si>
  <si>
    <t xml:space="preserve">AR</t>
  </si>
  <si>
    <t xml:space="preserve">Chambers Memorial Hospital</t>
  </si>
  <si>
    <t xml:space="preserve">Voluntary non-profit</t>
  </si>
  <si>
    <t xml:space="preserve">Ozark Health Medical Center</t>
  </si>
  <si>
    <t xml:space="preserve">Dallas County Medical Center</t>
  </si>
  <si>
    <t xml:space="preserve">East Texas Medical Center-Fairfield</t>
  </si>
  <si>
    <t xml:space="preserve">TX</t>
  </si>
  <si>
    <t xml:space="preserve">Wilson N. Jones Regional Medical Center</t>
  </si>
  <si>
    <t xml:space="preserve">Metroplex Adventist Hospital</t>
  </si>
  <si>
    <t xml:space="preserve">Titus Regional Medical Center</t>
  </si>
  <si>
    <t xml:space="preserve">Wilbarger General Hospital</t>
  </si>
  <si>
    <t xml:space="preserve">Memorial Medical Center</t>
  </si>
  <si>
    <t xml:space="preserve">LA</t>
  </si>
  <si>
    <t xml:space="preserve">Ochsner St. Mary</t>
  </si>
  <si>
    <t xml:space="preserve">Tulane Medical Center</t>
  </si>
  <si>
    <t xml:space="preserve">St. James Parish Hospital</t>
  </si>
  <si>
    <t xml:space="preserve">Mississippi Baptist Medical Center</t>
  </si>
  <si>
    <t xml:space="preserve">MS</t>
  </si>
  <si>
    <t xml:space="preserve">UMMC Grenada</t>
  </si>
  <si>
    <t xml:space="preserve">Southwest Mississippi Regional Medical</t>
  </si>
  <si>
    <t xml:space="preserve">HOSPITAL READMISSION RISK ANALYSIS – State-Level Benchmarking</t>
  </si>
  <si>
    <t xml:space="preserve">High Readmit Count</t>
  </si>
  <si>
    <t xml:space="preserve">Low Readmit Count</t>
  </si>
  <si>
    <t xml:space="preserve">High Readmit %</t>
  </si>
  <si>
    <t xml:space="preserve">Risk Tier</t>
  </si>
  <si>
    <t xml:space="preserve">High Readmit % (Formula)</t>
  </si>
  <si>
    <t xml:space="preserve">State Risk Score</t>
  </si>
  <si>
    <t xml:space="preserve">HIGH</t>
  </si>
  <si>
    <t xml:space="preserve">MODERATE</t>
  </si>
  <si>
    <t xml:space="preserve">LOW</t>
  </si>
  <si>
    <t xml:space="preserve">HOSPITAL SAFETY PERFORMANCE – Percentile Analysis &amp; Regional Benchmarking</t>
  </si>
  <si>
    <t xml:space="preserve">Region</t>
  </si>
  <si>
    <t xml:space="preserve">Avg Safety Percentile</t>
  </si>
  <si>
    <t xml:space="preserve">Safety Grade</t>
  </si>
  <si>
    <t xml:space="preserve">HAI Score</t>
  </si>
  <si>
    <t xml:space="preserve">Mortality Index</t>
  </si>
  <si>
    <t xml:space="preserve">Complication Rate</t>
  </si>
  <si>
    <t xml:space="preserve">Patient Experience</t>
  </si>
  <si>
    <t xml:space="preserve">Safety Composite</t>
  </si>
  <si>
    <t xml:space="preserve">Midwest</t>
  </si>
  <si>
    <t xml:space="preserve">A</t>
  </si>
  <si>
    <t xml:space="preserve">B</t>
  </si>
  <si>
    <t xml:space="preserve">C</t>
  </si>
  <si>
    <t xml:space="preserve">West</t>
  </si>
  <si>
    <t xml:space="preserve">D</t>
  </si>
  <si>
    <t xml:space="preserve">South</t>
  </si>
  <si>
    <t xml:space="preserve">F</t>
  </si>
  <si>
    <t xml:space="preserve">Northeast</t>
  </si>
  <si>
    <t xml:space="preserve">REGIONAL AVERAGES (SUMIF / AVERAGEIF Formula Examples)</t>
  </si>
  <si>
    <t xml:space="preserve">MICROSOFT ACCESS DATABASE SCHEMA – Hospital Operations BI</t>
  </si>
  <si>
    <t xml:space="preserve">Star Schema Design | 1 Fact Table + 4 Dimension Tables | Mirrors DuckDB warehouse</t>
  </si>
  <si>
    <t xml:space="preserve">FACT_HOSPITAL_PERFORMANCE (Fact Table)</t>
  </si>
  <si>
    <t xml:space="preserve">Field Name</t>
  </si>
  <si>
    <t xml:space="preserve">Data Type</t>
  </si>
  <si>
    <t xml:space="preserve">Key</t>
  </si>
  <si>
    <t xml:space="preserve">Null?</t>
  </si>
  <si>
    <t xml:space="preserve">Description</t>
  </si>
  <si>
    <t xml:space="preserve">hospital_id</t>
  </si>
  <si>
    <t xml:space="preserve">Text(6)</t>
  </si>
  <si>
    <t xml:space="preserve">PK</t>
  </si>
  <si>
    <t xml:space="preserve">CMS Provider ID</t>
  </si>
  <si>
    <t xml:space="preserve">dim_state_id</t>
  </si>
  <si>
    <t xml:space="preserve">Text(2)</t>
  </si>
  <si>
    <t xml:space="preserve">FK</t>
  </si>
  <si>
    <t xml:space="preserve">→ DIM_STATE</t>
  </si>
  <si>
    <t xml:space="preserve">dim_ownership_id</t>
  </si>
  <si>
    <t xml:space="preserve">Integer</t>
  </si>
  <si>
    <t xml:space="preserve">→ DIM_OWNERSHIP</t>
  </si>
  <si>
    <t xml:space="preserve">dim_hospital_type_id</t>
  </si>
  <si>
    <t xml:space="preserve">→ DIM_HOSPITAL_TYPE</t>
  </si>
  <si>
    <t xml:space="preserve">star_rating</t>
  </si>
  <si>
    <t xml:space="preserve">1–5 CMS star rating</t>
  </si>
  <si>
    <t xml:space="preserve">readmission_flag</t>
  </si>
  <si>
    <t xml:space="preserve">Text(4)</t>
  </si>
  <si>
    <t xml:space="preserve">High/Low readmission</t>
  </si>
  <si>
    <t xml:space="preserve">safety_percentile</t>
  </si>
  <si>
    <t xml:space="preserve">Double</t>
  </si>
  <si>
    <t xml:space="preserve">0–100 safety score</t>
  </si>
  <si>
    <t xml:space="preserve">mortality_index</t>
  </si>
  <si>
    <t xml:space="preserve">Mortality rate index</t>
  </si>
  <si>
    <t xml:space="preserve">std_devs_from_mean</t>
  </si>
  <si>
    <t xml:space="preserve">Anomaly detection metric</t>
  </si>
  <si>
    <t xml:space="preserve">emergency_services</t>
  </si>
  <si>
    <t xml:space="preserve">Yes/No</t>
  </si>
  <si>
    <t xml:space="preserve">Emergency dept present</t>
  </si>
  <si>
    <t xml:space="preserve">last_updated</t>
  </si>
  <si>
    <t xml:space="preserve">Date/Time</t>
  </si>
  <si>
    <t xml:space="preserve">Record last modified</t>
  </si>
  <si>
    <t xml:space="preserve">DIM_STATE (State Dimension)</t>
  </si>
  <si>
    <t xml:space="preserve">state_id</t>
  </si>
  <si>
    <t xml:space="preserve">2-letter USPS code</t>
  </si>
  <si>
    <t xml:space="preserve">state_name</t>
  </si>
  <si>
    <t xml:space="preserve">Text(50)</t>
  </si>
  <si>
    <t xml:space="preserve">Full state name</t>
  </si>
  <si>
    <t xml:space="preserve">region</t>
  </si>
  <si>
    <t xml:space="preserve">Text(20)</t>
  </si>
  <si>
    <t xml:space="preserve">Midwest/South/West/Northeast</t>
  </si>
  <si>
    <t xml:space="preserve">census_division</t>
  </si>
  <si>
    <t xml:space="preserve">Text(30)</t>
  </si>
  <si>
    <t xml:space="preserve">Census division</t>
  </si>
  <si>
    <t xml:space="preserve">avg_star_rating</t>
  </si>
  <si>
    <t xml:space="preserve">Calculated avg (query)</t>
  </si>
  <si>
    <t xml:space="preserve">DIM_OWNERSHIP (Ownership Dimension)</t>
  </si>
  <si>
    <t xml:space="preserve">ownership_id</t>
  </si>
  <si>
    <t xml:space="preserve">AutoNumber</t>
  </si>
  <si>
    <t xml:space="preserve">Auto-increment PK</t>
  </si>
  <si>
    <t xml:space="preserve">ownership_type</t>
  </si>
  <si>
    <t xml:space="preserve">Text(60)</t>
  </si>
  <si>
    <t xml:space="preserve">Govt / Non-profit / Proprietary</t>
  </si>
  <si>
    <t xml:space="preserve">ownership_code</t>
  </si>
  <si>
    <t xml:space="preserve">Text(10)</t>
  </si>
  <si>
    <t xml:space="preserve">Short code for filtering</t>
  </si>
  <si>
    <t xml:space="preserve">DIM_HOSPITAL_TYPE (Type Dimension)</t>
  </si>
  <si>
    <t xml:space="preserve">type_id</t>
  </si>
  <si>
    <t xml:space="preserve">hospital_type</t>
  </si>
  <si>
    <t xml:space="preserve">Acute Care / Critical Access / etc.</t>
  </si>
  <si>
    <t xml:space="preserve">type_abbrev</t>
  </si>
  <si>
    <t xml:space="preserve">Short label for reports</t>
  </si>
  <si>
    <t xml:space="preserve">SAVED ACCESS QUERIES (mirrors analytical SQL)</t>
  </si>
  <si>
    <t xml:space="preserve">qry_KPI_Summary</t>
  </si>
  <si>
    <t xml:space="preserve">SELECT state, AVG(star_rating), COUNT(*) FROM fact JOIN dim_state GROUP BY state</t>
  </si>
  <si>
    <t xml:space="preserve">qry_Top_Hospitals</t>
  </si>
  <si>
    <t xml:space="preserve">SELECT hospital_id, star_rating FROM fact WHERE star_rating=5 ORDER BY safety_percentile DESC</t>
  </si>
  <si>
    <t xml:space="preserve">qry_Anomaly_Detection</t>
  </si>
  <si>
    <t xml:space="preserve">SELECT * FROM fact WHERE std_devs_from_mean &lt;= -2</t>
  </si>
  <si>
    <t xml:space="preserve">qry_Readmission_High</t>
  </si>
  <si>
    <t xml:space="preserve">SELECT state, COUNT(*) FROM fact WHERE readmission_flag='High' GROUP BY state</t>
  </si>
  <si>
    <t xml:space="preserve">qry_Safety_Percentiles</t>
  </si>
  <si>
    <t xml:space="preserve">SELECT hospital_id, safety_percentile, NTILE(4) OVER (ORDER BY safety_percentile) AS quartile</t>
  </si>
  <si>
    <t xml:space="preserve">qry_Regional_Benchmark</t>
  </si>
  <si>
    <t xml:space="preserve">SELECT region, AVG(star_rating), STDEV(star_rating) FROM fact JOIN dim_state GROUP BY region</t>
  </si>
  <si>
    <t xml:space="preserve">ADVANCED EXCEL FORMULA REFERENCE – Hospital Operations Analytics</t>
  </si>
  <si>
    <t xml:space="preserve">LOOKUP &amp; REFERENCE</t>
  </si>
  <si>
    <t xml:space="preserve">State Rating Lookup</t>
  </si>
  <si>
    <t xml:space="preserve"> =XLOOKUP(G2,StatePerf!A2:A52,StatePerf!B2:B52,"Not Found")</t>
  </si>
  <si>
    <t xml:space="preserve">Retrieve star rating for any state</t>
  </si>
  <si>
    <t xml:space="preserve">Rank Lookup</t>
  </si>
  <si>
    <t xml:space="preserve"> =XLOOKUP(G2,StatePerf!A2:A52,StatePerf!I2:I52)</t>
  </si>
  <si>
    <t xml:space="preserve">Get performance rank for state</t>
  </si>
  <si>
    <t xml:space="preserve">Multi-column XLOOKUP</t>
  </si>
  <si>
    <t xml:space="preserve"> =XLOOKUP(G2,StatePerf!A2:A52,StatePerf!B2:G52)</t>
  </si>
  <si>
    <t xml:space="preserve">Return full row of state data</t>
  </si>
  <si>
    <t xml:space="preserve">MATCH position</t>
  </si>
  <si>
    <t xml:space="preserve"> =MATCH(G2,StatePerf!A2:A52,0)</t>
  </si>
  <si>
    <t xml:space="preserve">Find row number of a state</t>
  </si>
  <si>
    <t xml:space="preserve">INDEX/MATCH</t>
  </si>
  <si>
    <t xml:space="preserve"> =INDEX(StatePerf!B2:B52,MATCH(G2,StatePerf!A2:A52,0))</t>
  </si>
  <si>
    <t xml:space="preserve">Classic alternative to XLOOKUP</t>
  </si>
  <si>
    <t xml:space="preserve">STATISTICAL ANALYSIS</t>
  </si>
  <si>
    <t xml:space="preserve">National Average</t>
  </si>
  <si>
    <t xml:space="preserve"> =AVERAGE(StatePerf!B2:B52)</t>
  </si>
  <si>
    <t xml:space="preserve">Mean star rating across all states</t>
  </si>
  <si>
    <t xml:space="preserve">Standard Deviation</t>
  </si>
  <si>
    <t xml:space="preserve"> =STDEV(StatePerf!B2:B52)</t>
  </si>
  <si>
    <t xml:space="preserve">Population spread for anomaly detection</t>
  </si>
  <si>
    <t xml:space="preserve">Anomaly Threshold</t>
  </si>
  <si>
    <t xml:space="preserve"> =AVERAGE(StatePerf!B2:B52)-(2*STDEV(StatePerf!B2:B52))</t>
  </si>
  <si>
    <t xml:space="preserve">2σ below mean = anomaly flag</t>
  </si>
  <si>
    <t xml:space="preserve">Percentile Rank</t>
  </si>
  <si>
    <t xml:space="preserve"> =PERCENTRANK(StatePerf!B2:B52,B2)</t>
  </si>
  <si>
    <t xml:space="preserve">Where a state falls in distribution</t>
  </si>
  <si>
    <t xml:space="preserve">COUNTIFS – Anomalies</t>
  </si>
  <si>
    <t xml:space="preserve"> =COUNTIFS(StatePerf!B2:B52,"&lt;"&amp;(AVERAGE(StatePerf!B2:B52)-2*STDEV(StatePerf!B2:B52)))</t>
  </si>
  <si>
    <t xml:space="preserve">Count anomaly hospitals</t>
  </si>
  <si>
    <t xml:space="preserve">SUMIFS – Regional</t>
  </si>
  <si>
    <t xml:space="preserve"> =SUMIFS(StatePerf!E2:E52,StatePerf!A2:A52,"Utah")</t>
  </si>
  <si>
    <t xml:space="preserve">Conditional sum with criteria</t>
  </si>
  <si>
    <t xml:space="preserve">AVERAGEIFS</t>
  </si>
  <si>
    <t xml:space="preserve"> =AVERAGEIFS(StatePerf!B2:B52,StatePerf!C2:C52,"Above")</t>
  </si>
  <si>
    <t xml:space="preserve">Avg rating for above-avg states only</t>
  </si>
  <si>
    <t xml:space="preserve">CONDITIONAL &amp; LOGIC</t>
  </si>
  <si>
    <t xml:space="preserve">Nested IF – Risk Tier</t>
  </si>
  <si>
    <t xml:space="preserve"> =IF(E2&gt;=0.85,"CRITICAL",IF(E2&gt;=0.65,"HIGH",IF(E2&gt;=0.45,"MODERATE","LOW")))</t>
  </si>
  <si>
    <t xml:space="preserve">4-tier readmission risk classification</t>
  </si>
  <si>
    <t xml:space="preserve">IFS Function</t>
  </si>
  <si>
    <t xml:space="preserve"> =IFS(B2&gt;=4,"Top Performer",B2&gt;=3.5,"Above Avg",B2&gt;=2.5,"Below Avg",TRUE,"Poor")</t>
  </si>
  <si>
    <t xml:space="preserve">Performance tier without nesting</t>
  </si>
  <si>
    <t xml:space="preserve">SWITCH</t>
  </si>
  <si>
    <t xml:space="preserve"> =SWITCH(D2,"Above","▲ Strong","Below","▼ Weak","→ Avg")</t>
  </si>
  <si>
    <t xml:space="preserve">Clean alternative to IF for categories</t>
  </si>
  <si>
    <t xml:space="preserve">IFERROR</t>
  </si>
  <si>
    <t xml:space="preserve"> =IFERROR(XLOOKUP(A2,StatePerf!A2:A52,StatePerf!B2:B52),"N/A")</t>
  </si>
  <si>
    <t xml:space="preserve">Handle missing data gracefully</t>
  </si>
  <si>
    <t xml:space="preserve">TEXT &amp; DATE</t>
  </si>
  <si>
    <t xml:space="preserve">Dynamic Title</t>
  </si>
  <si>
    <t xml:space="preserve"> ="Hospital Report – "&amp;TEXT(TODAY(),"MMM DD, YYYY")</t>
  </si>
  <si>
    <t xml:space="preserve">Auto-updating report header</t>
  </si>
  <si>
    <t xml:space="preserve">TEXTJOIN</t>
  </si>
  <si>
    <t xml:space="preserve"> =TEXTJOIN(", ",TRUE,IF(StatePerf!C2:C52="Above",StatePerf!A2:A52,""))</t>
  </si>
  <si>
    <t xml:space="preserve">List all above-avg states (array formula)</t>
  </si>
  <si>
    <t xml:space="preserve">Number Formatting</t>
  </si>
  <si>
    <t xml:space="preserve"> =TEXT(B2,"0.00")&amp;" / 5.00 stars"</t>
  </si>
  <si>
    <t xml:space="preserve">Format rating as readable string</t>
  </si>
  <si>
    <t xml:space="preserve">LIVE STATE LOOKUP DEMO – Change the state name in C32 to auto-update</t>
  </si>
  <si>
    <t xml:space="preserve">Input State:</t>
  </si>
  <si>
    <t xml:space="preserve"> =XLOOKUP(B31,StatePerf!A2:A52,StatePerf!B2:B52,"Not Found")</t>
  </si>
  <si>
    <t xml:space="preserve">Performance vs Natl</t>
  </si>
  <si>
    <t xml:space="preserve"> =XLOOKUP(B31,StatePerf!A2:A52,StatePerf!C2:C52,"Not Found")</t>
  </si>
  <si>
    <t xml:space="preserve"> =XLOOKUP(B31,StatePerf!A2:A52,StatePerf!D2:D52,"Not Found")</t>
  </si>
  <si>
    <t xml:space="preserve"> =XLOOKUP(B31,StatePerf!A2:A52,StatePerf!E2:E52,"Not Found")</t>
  </si>
  <si>
    <t xml:space="preserve"> =XLOOKUP(B31,StatePerf!A2:A52,StatePerf!G2:G52,"Not Found")</t>
  </si>
  <si>
    <t xml:space="preserve">Nat'l Rank</t>
  </si>
  <si>
    <t xml:space="preserve"> =XLOOKUP(B31,StatePerf!A2:A52,StatePerf!I2:I52,"Not Found")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</si>
</sst>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BDBDB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A6B5E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8"/>
      <color rgb="FFBDBDB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C0392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B3A6B"/>
      <name val="Arial"/>
      <family val="0"/>
      <charset val="1"/>
    </font>
    <font>
      <sz val="8"/>
      <color rgb="FF1B3A6B"/>
      <name val="Arial"/>
      <family val="0"/>
      <charset val="1"/>
    </font>
    <font>
      <b val="true"/>
      <sz val="8"/>
      <color rgb="FFC0392B"/>
      <name val="Arial"/>
      <family val="0"/>
      <charset val="1"/>
    </font>
    <font>
      <sz val="8"/>
      <color rgb="FFC0392B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8B0000"/>
      <name val="Courier New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sz val="9"/>
      <color rgb="FF1A6B5E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2F2F2"/>
        <bgColor rgb="FFFEF9E7"/>
      </patternFill>
    </fill>
    <fill>
      <patternFill patternType="solid">
        <fgColor rgb="FF2E6DA4"/>
        <bgColor rgb="FF1A6B5E"/>
      </patternFill>
    </fill>
    <fill>
      <patternFill patternType="solid">
        <fgColor rgb="FF1A6B5E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D4AC0D"/>
        <bgColor rgb="FFFFCC00"/>
      </patternFill>
    </fill>
    <fill>
      <patternFill patternType="solid">
        <fgColor rgb="FFD0EDE8"/>
        <bgColor rgb="FFD5E8D4"/>
      </patternFill>
    </fill>
    <fill>
      <patternFill patternType="solid">
        <fgColor rgb="FFFADBD8"/>
        <bgColor rgb="FFFFE4CC"/>
      </patternFill>
    </fill>
    <fill>
      <patternFill patternType="solid">
        <fgColor rgb="FFFFFFFF"/>
        <bgColor rgb="FFFEF9E7"/>
      </patternFill>
    </fill>
    <fill>
      <patternFill patternType="solid">
        <fgColor rgb="FFFDE8D8"/>
        <bgColor rgb="FFFFE4CC"/>
      </patternFill>
    </fill>
    <fill>
      <patternFill patternType="solid">
        <fgColor rgb="FFFEF9E7"/>
        <bgColor rgb="FFFFFFFF"/>
      </patternFill>
    </fill>
    <fill>
      <patternFill patternType="solid">
        <fgColor rgb="FFD5E8D4"/>
        <bgColor rgb="FFD0EDE8"/>
      </patternFill>
    </fill>
    <fill>
      <patternFill patternType="solid">
        <fgColor rgb="FFFFE4CC"/>
        <bgColor rgb="FFFDE8D8"/>
      </patternFill>
    </fill>
    <fill>
      <patternFill patternType="solid">
        <fgColor rgb="FF555555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1A6B5E"/>
      <rgbColor rgb="FFBDBDBD"/>
      <rgbColor rgb="FF808080"/>
      <rgbColor rgb="FF9999FF"/>
      <rgbColor rgb="FF993366"/>
      <rgbColor rgb="FFFEF9E7"/>
      <rgbColor rgb="FFD0EDE8"/>
      <rgbColor rgb="FF660066"/>
      <rgbColor rgb="FFFF8080"/>
      <rgbColor rgb="FF2E6DA4"/>
      <rgbColor rgb="FFFDE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E8D4"/>
      <rgbColor rgb="FFFFE4CC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D4AC0D"/>
      <rgbColor rgb="FFFF6600"/>
      <rgbColor rgb="FF555555"/>
      <rgbColor rgb="FF969696"/>
      <rgbColor rgb="FF1B3A6B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7" min="4" style="0" width="14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16"/>
    <col collapsed="false" customWidth="true" hidden="false" outlineLevel="0" max="12" min="12" style="0" width="10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54.75" hidden="false" customHeight="true" outlineLevel="0" collapsed="false">
      <c r="A4" s="4" t="s">
        <v>3</v>
      </c>
      <c r="B4" s="4"/>
      <c r="C4" s="5" t="s">
        <v>4</v>
      </c>
      <c r="D4" s="5"/>
      <c r="E4" s="6" t="s">
        <v>5</v>
      </c>
      <c r="F4" s="6"/>
      <c r="G4" s="7" t="s">
        <v>6</v>
      </c>
      <c r="H4" s="7"/>
      <c r="I4" s="8" t="s">
        <v>7</v>
      </c>
      <c r="J4" s="8"/>
      <c r="K4" s="5" t="s">
        <v>8</v>
      </c>
      <c r="L4" s="5"/>
    </row>
    <row r="5" customFormat="false" ht="21.75" hidden="false" customHeight="true" outlineLevel="0" collapsed="false">
      <c r="A5" s="9" t="n">
        <f aca="false">StatePerf!B53</f>
        <v>3.29980392156863</v>
      </c>
      <c r="B5" s="9"/>
      <c r="C5" s="10" t="n">
        <v>5239</v>
      </c>
      <c r="D5" s="10"/>
      <c r="E5" s="11" t="n">
        <v>199</v>
      </c>
      <c r="F5" s="11"/>
      <c r="G5" s="12" t="n">
        <f aca="false">COUNTIF(StatePerf!C2:C52,"Above")</f>
        <v>29</v>
      </c>
      <c r="H5" s="12"/>
      <c r="I5" s="13" t="str">
        <f aca="false">TEXT(ReadmissionRisk!G2,"0.0%")</f>
        <v>High Readmit % (Formula)</v>
      </c>
      <c r="J5" s="13"/>
      <c r="K5" s="10" t="s">
        <v>9</v>
      </c>
      <c r="L5" s="10"/>
    </row>
    <row r="6" customFormat="false" ht="18" hidden="false" customHeight="true" outlineLevel="0" collapsed="false">
      <c r="A6" s="9"/>
      <c r="B6" s="9"/>
      <c r="C6" s="10"/>
      <c r="D6" s="10"/>
      <c r="E6" s="11"/>
      <c r="F6" s="11"/>
      <c r="G6" s="12"/>
      <c r="H6" s="12"/>
      <c r="I6" s="13"/>
      <c r="J6" s="13"/>
      <c r="K6" s="10"/>
      <c r="L6" s="10"/>
    </row>
    <row r="7" customFormat="false" ht="21.75" hidden="false" customHeight="true" outlineLevel="0" collapsed="false">
      <c r="A7" s="14" t="s">
        <v>10</v>
      </c>
      <c r="B7" s="14"/>
      <c r="C7" s="15" t="s">
        <v>11</v>
      </c>
      <c r="D7" s="15"/>
      <c r="E7" s="16" t="s">
        <v>12</v>
      </c>
      <c r="F7" s="16"/>
      <c r="G7" s="17" t="s">
        <v>13</v>
      </c>
      <c r="H7" s="17"/>
      <c r="I7" s="18" t="s">
        <v>14</v>
      </c>
      <c r="J7" s="18"/>
      <c r="K7" s="15" t="s">
        <v>15</v>
      </c>
      <c r="L7" s="15"/>
    </row>
    <row r="8" customFormat="false" ht="9.75" hidden="false" customHeight="true" outlineLevel="0" collapsed="false"/>
    <row r="9" customFormat="false" ht="21.75" hidden="false" customHeight="true" outlineLevel="0" collapsed="false">
      <c r="A9" s="3" t="s">
        <v>16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30" hidden="false" customHeight="true" outlineLevel="0" collapsed="false">
      <c r="A10" s="19" t="s">
        <v>17</v>
      </c>
      <c r="B10" s="19" t="s">
        <v>18</v>
      </c>
      <c r="C10" s="19" t="s">
        <v>19</v>
      </c>
      <c r="D10" s="19" t="s">
        <v>20</v>
      </c>
      <c r="E10" s="19" t="s">
        <v>21</v>
      </c>
      <c r="F10" s="19" t="s">
        <v>22</v>
      </c>
      <c r="G10" s="19" t="s">
        <v>23</v>
      </c>
      <c r="H10" s="19" t="s">
        <v>24</v>
      </c>
      <c r="I10" s="19" t="s">
        <v>25</v>
      </c>
      <c r="J10" s="19" t="s">
        <v>26</v>
      </c>
      <c r="K10" s="19" t="s">
        <v>27</v>
      </c>
      <c r="L10" s="19" t="s">
        <v>28</v>
      </c>
    </row>
    <row r="11" customFormat="false" ht="18" hidden="false" customHeight="true" outlineLevel="0" collapsed="false">
      <c r="A11" s="20" t="n">
        <v>1</v>
      </c>
      <c r="B11" s="21" t="s">
        <v>9</v>
      </c>
      <c r="C11" s="20" t="n">
        <v>4.24</v>
      </c>
      <c r="D11" s="20" t="n">
        <v>46</v>
      </c>
      <c r="E11" s="20" t="n">
        <v>45</v>
      </c>
      <c r="F11" s="20" t="n">
        <v>0</v>
      </c>
      <c r="G11" s="20" t="s">
        <v>29</v>
      </c>
      <c r="H11" s="20" t="n">
        <v>0</v>
      </c>
      <c r="I11" s="20" t="s">
        <v>30</v>
      </c>
      <c r="J11" s="20" t="s">
        <v>31</v>
      </c>
      <c r="K11" s="20" t="s">
        <v>32</v>
      </c>
      <c r="L11" s="22" t="s">
        <v>33</v>
      </c>
    </row>
    <row r="12" customFormat="false" ht="18" hidden="false" customHeight="true" outlineLevel="0" collapsed="false">
      <c r="A12" s="20" t="n">
        <v>2</v>
      </c>
      <c r="B12" s="21" t="s">
        <v>34</v>
      </c>
      <c r="C12" s="20" t="n">
        <v>4.1</v>
      </c>
      <c r="D12" s="20" t="n">
        <v>50</v>
      </c>
      <c r="E12" s="20" t="n">
        <v>38</v>
      </c>
      <c r="F12" s="20" t="n">
        <v>0</v>
      </c>
      <c r="G12" s="20" t="s">
        <v>35</v>
      </c>
      <c r="H12" s="20" t="n">
        <v>1</v>
      </c>
      <c r="I12" s="20" t="s">
        <v>36</v>
      </c>
      <c r="J12" s="20" t="s">
        <v>37</v>
      </c>
      <c r="K12" s="20" t="s">
        <v>32</v>
      </c>
      <c r="L12" s="22" t="s">
        <v>33</v>
      </c>
    </row>
    <row r="13" customFormat="false" ht="18" hidden="false" customHeight="true" outlineLevel="0" collapsed="false">
      <c r="A13" s="20" t="n">
        <v>3</v>
      </c>
      <c r="B13" s="21" t="s">
        <v>38</v>
      </c>
      <c r="C13" s="20" t="n">
        <v>3.98</v>
      </c>
      <c r="D13" s="20" t="n">
        <v>124</v>
      </c>
      <c r="E13" s="20" t="n">
        <v>87</v>
      </c>
      <c r="F13" s="20" t="n">
        <v>2</v>
      </c>
      <c r="G13" s="20" t="s">
        <v>39</v>
      </c>
      <c r="H13" s="20" t="n">
        <v>3</v>
      </c>
      <c r="I13" s="20" t="s">
        <v>40</v>
      </c>
      <c r="J13" s="20" t="s">
        <v>41</v>
      </c>
      <c r="K13" s="20" t="s">
        <v>32</v>
      </c>
      <c r="L13" s="22" t="s">
        <v>33</v>
      </c>
    </row>
    <row r="14" customFormat="false" ht="18" hidden="false" customHeight="true" outlineLevel="0" collapsed="false">
      <c r="A14" s="20" t="n">
        <v>4</v>
      </c>
      <c r="B14" s="21" t="s">
        <v>42</v>
      </c>
      <c r="C14" s="20" t="n">
        <v>3.95</v>
      </c>
      <c r="D14" s="20" t="n">
        <v>89</v>
      </c>
      <c r="E14" s="20" t="n">
        <v>72</v>
      </c>
      <c r="F14" s="20" t="n">
        <v>1</v>
      </c>
      <c r="G14" s="20" t="s">
        <v>43</v>
      </c>
      <c r="H14" s="20" t="n">
        <v>2</v>
      </c>
      <c r="I14" s="20" t="s">
        <v>44</v>
      </c>
      <c r="J14" s="20" t="s">
        <v>45</v>
      </c>
      <c r="K14" s="20" t="s">
        <v>32</v>
      </c>
      <c r="L14" s="22" t="s">
        <v>33</v>
      </c>
    </row>
    <row r="15" customFormat="false" ht="18" hidden="false" customHeight="true" outlineLevel="0" collapsed="false">
      <c r="A15" s="20" t="n">
        <v>5</v>
      </c>
      <c r="B15" s="21" t="s">
        <v>46</v>
      </c>
      <c r="C15" s="20" t="n">
        <v>3.91</v>
      </c>
      <c r="D15" s="20" t="n">
        <v>95</v>
      </c>
      <c r="E15" s="20" t="n">
        <v>69</v>
      </c>
      <c r="F15" s="20" t="n">
        <v>3</v>
      </c>
      <c r="G15" s="20" t="s">
        <v>47</v>
      </c>
      <c r="H15" s="20" t="n">
        <v>4</v>
      </c>
      <c r="I15" s="20" t="s">
        <v>48</v>
      </c>
      <c r="J15" s="20" t="s">
        <v>49</v>
      </c>
      <c r="K15" s="20" t="s">
        <v>32</v>
      </c>
      <c r="L15" s="22" t="s">
        <v>33</v>
      </c>
    </row>
    <row r="16" customFormat="false" ht="18" hidden="false" customHeight="true" outlineLevel="0" collapsed="false">
      <c r="A16" s="20" t="n">
        <v>6</v>
      </c>
      <c r="B16" s="21" t="s">
        <v>50</v>
      </c>
      <c r="C16" s="20" t="n">
        <v>3.88</v>
      </c>
      <c r="D16" s="20" t="n">
        <v>131</v>
      </c>
      <c r="E16" s="20" t="n">
        <v>94</v>
      </c>
      <c r="F16" s="20" t="n">
        <v>2</v>
      </c>
      <c r="G16" s="20" t="s">
        <v>51</v>
      </c>
      <c r="H16" s="20" t="n">
        <v>5</v>
      </c>
      <c r="I16" s="20" t="s">
        <v>52</v>
      </c>
      <c r="J16" s="20" t="s">
        <v>53</v>
      </c>
      <c r="K16" s="20" t="s">
        <v>32</v>
      </c>
      <c r="L16" s="22" t="s">
        <v>33</v>
      </c>
    </row>
    <row r="17" customFormat="false" ht="18" hidden="false" customHeight="true" outlineLevel="0" collapsed="false">
      <c r="A17" s="20" t="n">
        <v>7</v>
      </c>
      <c r="B17" s="21" t="s">
        <v>54</v>
      </c>
      <c r="C17" s="20" t="n">
        <v>3.85</v>
      </c>
      <c r="D17" s="20" t="n">
        <v>58</v>
      </c>
      <c r="E17" s="20" t="n">
        <v>41</v>
      </c>
      <c r="F17" s="20" t="n">
        <v>1</v>
      </c>
      <c r="G17" s="20" t="s">
        <v>55</v>
      </c>
      <c r="H17" s="20" t="n">
        <v>3</v>
      </c>
      <c r="I17" s="20" t="s">
        <v>56</v>
      </c>
      <c r="J17" s="20" t="s">
        <v>57</v>
      </c>
      <c r="K17" s="20" t="s">
        <v>32</v>
      </c>
      <c r="L17" s="20" t="s">
        <v>58</v>
      </c>
    </row>
    <row r="18" customFormat="false" ht="18" hidden="false" customHeight="true" outlineLevel="0" collapsed="false">
      <c r="A18" s="20" t="n">
        <v>8</v>
      </c>
      <c r="B18" s="21" t="s">
        <v>59</v>
      </c>
      <c r="C18" s="20" t="n">
        <v>3.82</v>
      </c>
      <c r="D18" s="20" t="n">
        <v>118</v>
      </c>
      <c r="E18" s="20" t="n">
        <v>82</v>
      </c>
      <c r="F18" s="20" t="n">
        <v>4</v>
      </c>
      <c r="G18" s="20" t="s">
        <v>60</v>
      </c>
      <c r="H18" s="20" t="n">
        <v>4</v>
      </c>
      <c r="I18" s="20" t="s">
        <v>61</v>
      </c>
      <c r="J18" s="20" t="s">
        <v>62</v>
      </c>
      <c r="K18" s="20" t="s">
        <v>32</v>
      </c>
      <c r="L18" s="20" t="s">
        <v>58</v>
      </c>
    </row>
    <row r="19" customFormat="false" ht="18" hidden="false" customHeight="true" outlineLevel="0" collapsed="false">
      <c r="A19" s="20" t="n">
        <v>9</v>
      </c>
      <c r="B19" s="21" t="s">
        <v>63</v>
      </c>
      <c r="C19" s="20" t="n">
        <v>3.79</v>
      </c>
      <c r="D19" s="20" t="n">
        <v>54</v>
      </c>
      <c r="E19" s="20" t="n">
        <v>38</v>
      </c>
      <c r="F19" s="20" t="n">
        <v>2</v>
      </c>
      <c r="G19" s="20" t="s">
        <v>64</v>
      </c>
      <c r="H19" s="20" t="n">
        <v>3</v>
      </c>
      <c r="I19" s="20" t="s">
        <v>65</v>
      </c>
      <c r="J19" s="20" t="s">
        <v>66</v>
      </c>
      <c r="K19" s="20" t="s">
        <v>32</v>
      </c>
      <c r="L19" s="20" t="s">
        <v>58</v>
      </c>
    </row>
    <row r="20" customFormat="false" ht="18" hidden="false" customHeight="true" outlineLevel="0" collapsed="false">
      <c r="A20" s="20" t="n">
        <v>10</v>
      </c>
      <c r="B20" s="21" t="s">
        <v>67</v>
      </c>
      <c r="C20" s="20" t="n">
        <v>3.77</v>
      </c>
      <c r="D20" s="20" t="n">
        <v>63</v>
      </c>
      <c r="E20" s="20" t="n">
        <v>42</v>
      </c>
      <c r="F20" s="20" t="n">
        <v>3</v>
      </c>
      <c r="G20" s="20" t="s">
        <v>68</v>
      </c>
      <c r="H20" s="20" t="n">
        <v>5</v>
      </c>
      <c r="I20" s="20" t="s">
        <v>69</v>
      </c>
      <c r="J20" s="20" t="s">
        <v>70</v>
      </c>
      <c r="K20" s="20" t="s">
        <v>32</v>
      </c>
      <c r="L20" s="20" t="s">
        <v>58</v>
      </c>
    </row>
    <row r="21" customFormat="false" ht="18" hidden="false" customHeight="true" outlineLevel="0" collapsed="false">
      <c r="A21" s="23"/>
      <c r="B21" s="24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customFormat="false" ht="18" hidden="false" customHeight="true" outlineLevel="0" collapsed="false">
      <c r="A22" s="25" t="n">
        <v>47</v>
      </c>
      <c r="B22" s="26" t="s">
        <v>71</v>
      </c>
      <c r="C22" s="25" t="n">
        <v>2.81</v>
      </c>
      <c r="D22" s="25" t="n">
        <v>72</v>
      </c>
      <c r="E22" s="25" t="n">
        <v>4</v>
      </c>
      <c r="F22" s="25" t="n">
        <v>28</v>
      </c>
      <c r="G22" s="25" t="s">
        <v>72</v>
      </c>
      <c r="H22" s="25" t="n">
        <v>19</v>
      </c>
      <c r="I22" s="25" t="s">
        <v>73</v>
      </c>
      <c r="J22" s="25" t="s">
        <v>74</v>
      </c>
      <c r="K22" s="25" t="s">
        <v>75</v>
      </c>
      <c r="L22" s="27" t="s">
        <v>76</v>
      </c>
    </row>
    <row r="23" customFormat="false" ht="18" hidden="false" customHeight="true" outlineLevel="0" collapsed="false">
      <c r="A23" s="25" t="n">
        <v>48</v>
      </c>
      <c r="B23" s="26" t="s">
        <v>77</v>
      </c>
      <c r="C23" s="25" t="n">
        <v>2.72</v>
      </c>
      <c r="D23" s="25" t="n">
        <v>114</v>
      </c>
      <c r="E23" s="25" t="n">
        <v>3</v>
      </c>
      <c r="F23" s="25" t="n">
        <v>31</v>
      </c>
      <c r="G23" s="25" t="s">
        <v>78</v>
      </c>
      <c r="H23" s="25" t="n">
        <v>21</v>
      </c>
      <c r="I23" s="25" t="s">
        <v>79</v>
      </c>
      <c r="J23" s="25" t="s">
        <v>80</v>
      </c>
      <c r="K23" s="25" t="s">
        <v>75</v>
      </c>
      <c r="L23" s="27" t="s">
        <v>76</v>
      </c>
    </row>
    <row r="24" customFormat="false" ht="18" hidden="false" customHeight="true" outlineLevel="0" collapsed="false">
      <c r="A24" s="25" t="n">
        <v>49</v>
      </c>
      <c r="B24" s="26" t="s">
        <v>81</v>
      </c>
      <c r="C24" s="25" t="n">
        <v>2.63</v>
      </c>
      <c r="D24" s="25" t="n">
        <v>8</v>
      </c>
      <c r="E24" s="25" t="n">
        <v>0</v>
      </c>
      <c r="F24" s="25" t="n">
        <v>5</v>
      </c>
      <c r="G24" s="25" t="s">
        <v>82</v>
      </c>
      <c r="H24" s="25" t="n">
        <v>6</v>
      </c>
      <c r="I24" s="25" t="s">
        <v>83</v>
      </c>
      <c r="J24" s="25" t="s">
        <v>84</v>
      </c>
      <c r="K24" s="25" t="s">
        <v>75</v>
      </c>
      <c r="L24" s="27" t="s">
        <v>76</v>
      </c>
    </row>
    <row r="25" customFormat="false" ht="18" hidden="false" customHeight="true" outlineLevel="0" collapsed="false">
      <c r="A25" s="25" t="n">
        <v>50</v>
      </c>
      <c r="B25" s="26" t="s">
        <v>85</v>
      </c>
      <c r="C25" s="25" t="n">
        <v>2.51</v>
      </c>
      <c r="D25" s="25" t="n">
        <v>98</v>
      </c>
      <c r="E25" s="25" t="n">
        <v>2</v>
      </c>
      <c r="F25" s="25" t="n">
        <v>38</v>
      </c>
      <c r="G25" s="25" t="s">
        <v>86</v>
      </c>
      <c r="H25" s="25" t="n">
        <v>24</v>
      </c>
      <c r="I25" s="25" t="s">
        <v>87</v>
      </c>
      <c r="J25" s="25" t="s">
        <v>88</v>
      </c>
      <c r="K25" s="25" t="s">
        <v>75</v>
      </c>
      <c r="L25" s="27" t="s">
        <v>76</v>
      </c>
    </row>
    <row r="26" customFormat="false" ht="18" hidden="false" customHeight="true" outlineLevel="0" collapsed="false">
      <c r="A26" s="25" t="n">
        <v>51</v>
      </c>
      <c r="B26" s="26" t="s">
        <v>89</v>
      </c>
      <c r="C26" s="25" t="n">
        <v>2.33</v>
      </c>
      <c r="D26" s="25" t="n">
        <v>97</v>
      </c>
      <c r="E26" s="25" t="n">
        <v>1</v>
      </c>
      <c r="F26" s="25" t="n">
        <v>36</v>
      </c>
      <c r="G26" s="25" t="s">
        <v>90</v>
      </c>
      <c r="H26" s="25" t="n">
        <v>29</v>
      </c>
      <c r="I26" s="25" t="s">
        <v>91</v>
      </c>
      <c r="J26" s="25" t="s">
        <v>92</v>
      </c>
      <c r="K26" s="25" t="s">
        <v>75</v>
      </c>
      <c r="L26" s="27" t="s">
        <v>76</v>
      </c>
    </row>
    <row r="28" customFormat="false" ht="15" hidden="false" customHeight="true" outlineLevel="0" collapsed="false">
      <c r="A28" s="28" t="s">
        <v>93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</row>
  </sheetData>
  <mergeCells count="23">
    <mergeCell ref="A1:L1"/>
    <mergeCell ref="A2:L2"/>
    <mergeCell ref="A3:L3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7:B7"/>
    <mergeCell ref="C7:D7"/>
    <mergeCell ref="E7:F7"/>
    <mergeCell ref="G7:H7"/>
    <mergeCell ref="I7:J7"/>
    <mergeCell ref="K7:L7"/>
    <mergeCell ref="A9:L9"/>
    <mergeCell ref="A28:L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8"/>
  </cols>
  <sheetData>
    <row r="1" customFormat="false" ht="27.75" hidden="false" customHeight="true" outlineLevel="0" collapsed="false">
      <c r="A1" s="29" t="s">
        <v>18</v>
      </c>
      <c r="B1" s="29" t="s">
        <v>19</v>
      </c>
      <c r="C1" s="29" t="s">
        <v>94</v>
      </c>
      <c r="D1" s="29" t="s">
        <v>20</v>
      </c>
      <c r="E1" s="29" t="s">
        <v>95</v>
      </c>
      <c r="F1" s="29" t="s">
        <v>96</v>
      </c>
      <c r="G1" s="29" t="s">
        <v>97</v>
      </c>
      <c r="H1" s="29" t="s">
        <v>98</v>
      </c>
      <c r="I1" s="29" t="s">
        <v>17</v>
      </c>
    </row>
    <row r="2" customFormat="false" ht="15.75" hidden="false" customHeight="true" outlineLevel="0" collapsed="false">
      <c r="A2" s="24" t="s">
        <v>85</v>
      </c>
      <c r="B2" s="23" t="n">
        <v>2.51</v>
      </c>
      <c r="C2" s="23" t="s">
        <v>99</v>
      </c>
      <c r="D2" s="23" t="n">
        <v>114</v>
      </c>
      <c r="E2" s="23" t="n">
        <v>2</v>
      </c>
      <c r="F2" s="23" t="n">
        <v>38</v>
      </c>
      <c r="G2" s="23" t="n">
        <v>24</v>
      </c>
      <c r="H2" s="23" t="n">
        <f aca="false">B2/AVERAGE($B$2:$B$52)</f>
        <v>0.760651256759166</v>
      </c>
      <c r="I2" s="23" t="n">
        <f aca="false">RANK(B2,$B$2:$B$52,0)</f>
        <v>50</v>
      </c>
    </row>
    <row r="3" customFormat="false" ht="15.75" hidden="false" customHeight="true" outlineLevel="0" collapsed="false">
      <c r="A3" s="30" t="s">
        <v>100</v>
      </c>
      <c r="B3" s="31" t="n">
        <v>3.44</v>
      </c>
      <c r="C3" s="31" t="s">
        <v>101</v>
      </c>
      <c r="D3" s="31" t="n">
        <v>18</v>
      </c>
      <c r="E3" s="31" t="n">
        <v>11</v>
      </c>
      <c r="F3" s="31" t="n">
        <v>3</v>
      </c>
      <c r="G3" s="31" t="n">
        <v>5</v>
      </c>
      <c r="H3" s="31" t="n">
        <f aca="false">B3/AVERAGE($B$2:$B$52)</f>
        <v>1.04248618456236</v>
      </c>
      <c r="I3" s="31" t="n">
        <f aca="false">RANK(B3,$B$2:$B$52,0)</f>
        <v>17</v>
      </c>
    </row>
    <row r="4" customFormat="false" ht="15.75" hidden="false" customHeight="true" outlineLevel="0" collapsed="false">
      <c r="A4" s="24" t="s">
        <v>102</v>
      </c>
      <c r="B4" s="23" t="n">
        <v>3.52</v>
      </c>
      <c r="C4" s="23" t="s">
        <v>101</v>
      </c>
      <c r="D4" s="23" t="n">
        <v>76</v>
      </c>
      <c r="E4" s="23" t="n">
        <v>19</v>
      </c>
      <c r="F4" s="23" t="n">
        <v>8</v>
      </c>
      <c r="G4" s="23" t="n">
        <v>12</v>
      </c>
      <c r="H4" s="23" t="n">
        <f aca="false">B4/AVERAGE($B$2:$B$52)</f>
        <v>1.06673004931963</v>
      </c>
      <c r="I4" s="23" t="n">
        <f aca="false">RANK(B4,$B$2:$B$52,0)</f>
        <v>15</v>
      </c>
    </row>
    <row r="5" customFormat="false" ht="15.75" hidden="false" customHeight="true" outlineLevel="0" collapsed="false">
      <c r="A5" s="30" t="s">
        <v>103</v>
      </c>
      <c r="B5" s="31" t="n">
        <v>2.77</v>
      </c>
      <c r="C5" s="31" t="s">
        <v>99</v>
      </c>
      <c r="D5" s="31" t="n">
        <v>93</v>
      </c>
      <c r="E5" s="31" t="n">
        <v>3</v>
      </c>
      <c r="F5" s="31" t="n">
        <v>27</v>
      </c>
      <c r="G5" s="31" t="n">
        <v>18</v>
      </c>
      <c r="H5" s="31" t="n">
        <f aca="false">B5/AVERAGE($B$2:$B$52)</f>
        <v>0.839443817220275</v>
      </c>
      <c r="I5" s="31" t="n">
        <f aca="false">RANK(B5,$B$2:$B$52,0)</f>
        <v>47</v>
      </c>
    </row>
    <row r="6" customFormat="false" ht="15.75" hidden="false" customHeight="true" outlineLevel="0" collapsed="false">
      <c r="A6" s="24" t="s">
        <v>104</v>
      </c>
      <c r="B6" s="23" t="n">
        <v>3.18</v>
      </c>
      <c r="C6" s="23" t="s">
        <v>99</v>
      </c>
      <c r="D6" s="23" t="n">
        <v>369</v>
      </c>
      <c r="E6" s="23" t="n">
        <v>81</v>
      </c>
      <c r="F6" s="23" t="n">
        <v>62</v>
      </c>
      <c r="G6" s="23" t="n">
        <v>74</v>
      </c>
      <c r="H6" s="23" t="n">
        <f aca="false">B6/AVERAGE($B$2:$B$52)</f>
        <v>0.963693624101254</v>
      </c>
      <c r="I6" s="23" t="n">
        <f aca="false">RANK(B6,$B$2:$B$52,0)</f>
        <v>30</v>
      </c>
    </row>
    <row r="7" customFormat="false" ht="15.75" hidden="false" customHeight="true" outlineLevel="0" collapsed="false">
      <c r="A7" s="30" t="s">
        <v>46</v>
      </c>
      <c r="B7" s="31" t="n">
        <v>3.91</v>
      </c>
      <c r="C7" s="31" t="s">
        <v>101</v>
      </c>
      <c r="D7" s="31" t="n">
        <v>95</v>
      </c>
      <c r="E7" s="31" t="n">
        <v>69</v>
      </c>
      <c r="F7" s="31" t="n">
        <v>3</v>
      </c>
      <c r="G7" s="31" t="n">
        <v>4</v>
      </c>
      <c r="H7" s="31" t="n">
        <f aca="false">B7/AVERAGE($B$2:$B$52)</f>
        <v>1.18491889001129</v>
      </c>
      <c r="I7" s="31" t="n">
        <f aca="false">RANK(B7,$B$2:$B$52,0)</f>
        <v>5</v>
      </c>
    </row>
    <row r="8" customFormat="false" ht="15.75" hidden="false" customHeight="true" outlineLevel="0" collapsed="false">
      <c r="A8" s="24" t="s">
        <v>105</v>
      </c>
      <c r="B8" s="23" t="n">
        <v>3.24</v>
      </c>
      <c r="C8" s="23" t="s">
        <v>101</v>
      </c>
      <c r="D8" s="23" t="n">
        <v>35</v>
      </c>
      <c r="E8" s="23" t="n">
        <v>9</v>
      </c>
      <c r="F8" s="23" t="n">
        <v>5</v>
      </c>
      <c r="G8" s="23" t="n">
        <v>7</v>
      </c>
      <c r="H8" s="23" t="n">
        <f aca="false">B8/AVERAGE($B$2:$B$52)</f>
        <v>0.981876522669202</v>
      </c>
      <c r="I8" s="23" t="n">
        <f aca="false">RANK(B8,$B$2:$B$52,0)</f>
        <v>25</v>
      </c>
    </row>
    <row r="9" customFormat="false" ht="15.75" hidden="false" customHeight="true" outlineLevel="0" collapsed="false">
      <c r="A9" s="30" t="s">
        <v>106</v>
      </c>
      <c r="B9" s="31" t="n">
        <v>3.07</v>
      </c>
      <c r="C9" s="31" t="s">
        <v>99</v>
      </c>
      <c r="D9" s="31" t="n">
        <v>9</v>
      </c>
      <c r="E9" s="31" t="n">
        <v>1</v>
      </c>
      <c r="F9" s="31" t="n">
        <v>1</v>
      </c>
      <c r="G9" s="31" t="n">
        <v>2</v>
      </c>
      <c r="H9" s="31" t="n">
        <f aca="false">B9/AVERAGE($B$2:$B$52)</f>
        <v>0.930358310060015</v>
      </c>
      <c r="I9" s="31" t="n">
        <f aca="false">RANK(B9,$B$2:$B$52,0)</f>
        <v>35</v>
      </c>
    </row>
    <row r="10" customFormat="false" ht="15.75" hidden="false" customHeight="true" outlineLevel="0" collapsed="false">
      <c r="A10" s="24" t="s">
        <v>107</v>
      </c>
      <c r="B10" s="23" t="n">
        <v>2.63</v>
      </c>
      <c r="C10" s="23" t="s">
        <v>99</v>
      </c>
      <c r="D10" s="23" t="n">
        <v>8</v>
      </c>
      <c r="E10" s="23" t="n">
        <v>0</v>
      </c>
      <c r="F10" s="23" t="n">
        <v>5</v>
      </c>
      <c r="G10" s="23" t="n">
        <v>6</v>
      </c>
      <c r="H10" s="23" t="n">
        <f aca="false">B10/AVERAGE($B$2:$B$52)</f>
        <v>0.797017053895062</v>
      </c>
      <c r="I10" s="23" t="n">
        <f aca="false">RANK(B10,$B$2:$B$52,0)</f>
        <v>49</v>
      </c>
    </row>
    <row r="11" customFormat="false" ht="15.75" hidden="false" customHeight="true" outlineLevel="0" collapsed="false">
      <c r="A11" s="30" t="s">
        <v>108</v>
      </c>
      <c r="B11" s="31" t="n">
        <v>3.09</v>
      </c>
      <c r="C11" s="31" t="s">
        <v>99</v>
      </c>
      <c r="D11" s="31" t="n">
        <v>215</v>
      </c>
      <c r="E11" s="31" t="n">
        <v>43</v>
      </c>
      <c r="F11" s="31" t="n">
        <v>34</v>
      </c>
      <c r="G11" s="31" t="n">
        <v>43</v>
      </c>
      <c r="H11" s="31" t="n">
        <f aca="false">B11/AVERAGE($B$2:$B$52)</f>
        <v>0.936419276249332</v>
      </c>
      <c r="I11" s="31" t="n">
        <f aca="false">RANK(B11,$B$2:$B$52,0)</f>
        <v>33</v>
      </c>
    </row>
    <row r="12" customFormat="false" ht="15.75" hidden="false" customHeight="true" outlineLevel="0" collapsed="false">
      <c r="A12" s="24" t="s">
        <v>109</v>
      </c>
      <c r="B12" s="23" t="n">
        <v>2.96</v>
      </c>
      <c r="C12" s="23" t="s">
        <v>99</v>
      </c>
      <c r="D12" s="23" t="n">
        <v>152</v>
      </c>
      <c r="E12" s="23" t="n">
        <v>28</v>
      </c>
      <c r="F12" s="23" t="n">
        <v>29</v>
      </c>
      <c r="G12" s="23" t="n">
        <v>32</v>
      </c>
      <c r="H12" s="23" t="n">
        <f aca="false">B12/AVERAGE($B$2:$B$52)</f>
        <v>0.897022996018777</v>
      </c>
      <c r="I12" s="23" t="n">
        <f aca="false">RANK(B12,$B$2:$B$52,0)</f>
        <v>40</v>
      </c>
    </row>
    <row r="13" customFormat="false" ht="15.75" hidden="false" customHeight="true" outlineLevel="0" collapsed="false">
      <c r="A13" s="30" t="s">
        <v>110</v>
      </c>
      <c r="B13" s="31" t="n">
        <v>3.21</v>
      </c>
      <c r="C13" s="31" t="s">
        <v>101</v>
      </c>
      <c r="D13" s="31" t="n">
        <v>23</v>
      </c>
      <c r="E13" s="31" t="n">
        <v>5</v>
      </c>
      <c r="F13" s="31" t="n">
        <v>3</v>
      </c>
      <c r="G13" s="31" t="n">
        <v>5</v>
      </c>
      <c r="H13" s="31" t="n">
        <f aca="false">B13/AVERAGE($B$2:$B$52)</f>
        <v>0.972785073385228</v>
      </c>
      <c r="I13" s="31" t="n">
        <f aca="false">RANK(B13,$B$2:$B$52,0)</f>
        <v>28</v>
      </c>
    </row>
    <row r="14" customFormat="false" ht="15.75" hidden="false" customHeight="true" outlineLevel="0" collapsed="false">
      <c r="A14" s="24" t="s">
        <v>54</v>
      </c>
      <c r="B14" s="23" t="n">
        <v>3.85</v>
      </c>
      <c r="C14" s="23" t="s">
        <v>101</v>
      </c>
      <c r="D14" s="23" t="n">
        <v>58</v>
      </c>
      <c r="E14" s="23" t="n">
        <v>41</v>
      </c>
      <c r="F14" s="23" t="n">
        <v>1</v>
      </c>
      <c r="G14" s="23" t="n">
        <v>3</v>
      </c>
      <c r="H14" s="23" t="n">
        <f aca="false">B14/AVERAGE($B$2:$B$52)</f>
        <v>1.16673599144334</v>
      </c>
      <c r="I14" s="23" t="n">
        <f aca="false">RANK(B14,$B$2:$B$52,0)</f>
        <v>7</v>
      </c>
    </row>
    <row r="15" customFormat="false" ht="15.75" hidden="false" customHeight="true" outlineLevel="0" collapsed="false">
      <c r="A15" s="30" t="s">
        <v>111</v>
      </c>
      <c r="B15" s="31" t="n">
        <v>3.31</v>
      </c>
      <c r="C15" s="31" t="s">
        <v>101</v>
      </c>
      <c r="D15" s="31" t="n">
        <v>188</v>
      </c>
      <c r="E15" s="31" t="n">
        <v>52</v>
      </c>
      <c r="F15" s="31" t="n">
        <v>21</v>
      </c>
      <c r="G15" s="31" t="n">
        <v>31</v>
      </c>
      <c r="H15" s="31" t="n">
        <f aca="false">B15/AVERAGE($B$2:$B$52)</f>
        <v>1.00308990433181</v>
      </c>
      <c r="I15" s="31" t="n">
        <f aca="false">RANK(B15,$B$2:$B$52,0)</f>
        <v>23</v>
      </c>
    </row>
    <row r="16" customFormat="false" ht="15.75" hidden="false" customHeight="true" outlineLevel="0" collapsed="false">
      <c r="A16" s="24" t="s">
        <v>112</v>
      </c>
      <c r="B16" s="23" t="n">
        <v>3.44</v>
      </c>
      <c r="C16" s="23" t="s">
        <v>101</v>
      </c>
      <c r="D16" s="23" t="n">
        <v>130</v>
      </c>
      <c r="E16" s="23" t="n">
        <v>47</v>
      </c>
      <c r="F16" s="23" t="n">
        <v>13</v>
      </c>
      <c r="G16" s="23" t="n">
        <v>19</v>
      </c>
      <c r="H16" s="23" t="n">
        <f aca="false">B16/AVERAGE($B$2:$B$52)</f>
        <v>1.04248618456236</v>
      </c>
      <c r="I16" s="23" t="n">
        <f aca="false">RANK(B16,$B$2:$B$52,0)</f>
        <v>17</v>
      </c>
    </row>
    <row r="17" customFormat="false" ht="15.75" hidden="false" customHeight="true" outlineLevel="0" collapsed="false">
      <c r="A17" s="30" t="s">
        <v>59</v>
      </c>
      <c r="B17" s="31" t="n">
        <v>3.82</v>
      </c>
      <c r="C17" s="31" t="s">
        <v>101</v>
      </c>
      <c r="D17" s="31" t="n">
        <v>118</v>
      </c>
      <c r="E17" s="31" t="n">
        <v>82</v>
      </c>
      <c r="F17" s="31" t="n">
        <v>4</v>
      </c>
      <c r="G17" s="31" t="n">
        <v>4</v>
      </c>
      <c r="H17" s="31" t="n">
        <f aca="false">B17/AVERAGE($B$2:$B$52)</f>
        <v>1.15764454215937</v>
      </c>
      <c r="I17" s="31" t="n">
        <f aca="false">RANK(B17,$B$2:$B$52,0)</f>
        <v>8</v>
      </c>
    </row>
    <row r="18" customFormat="false" ht="15.75" hidden="false" customHeight="true" outlineLevel="0" collapsed="false">
      <c r="A18" s="24" t="s">
        <v>113</v>
      </c>
      <c r="B18" s="23" t="n">
        <v>3.67</v>
      </c>
      <c r="C18" s="23" t="s">
        <v>101</v>
      </c>
      <c r="D18" s="23" t="n">
        <v>130</v>
      </c>
      <c r="E18" s="23" t="n">
        <v>88</v>
      </c>
      <c r="F18" s="23" t="n">
        <v>6</v>
      </c>
      <c r="G18" s="23" t="n">
        <v>8</v>
      </c>
      <c r="H18" s="23" t="n">
        <f aca="false">B18/AVERAGE($B$2:$B$52)</f>
        <v>1.1121872957395</v>
      </c>
      <c r="I18" s="23" t="n">
        <f aca="false">RANK(B18,$B$2:$B$52,0)</f>
        <v>13</v>
      </c>
    </row>
    <row r="19" customFormat="false" ht="15.75" hidden="false" customHeight="true" outlineLevel="0" collapsed="false">
      <c r="A19" s="30" t="s">
        <v>114</v>
      </c>
      <c r="B19" s="31" t="n">
        <v>2.88</v>
      </c>
      <c r="C19" s="31" t="s">
        <v>99</v>
      </c>
      <c r="D19" s="31" t="n">
        <v>106</v>
      </c>
      <c r="E19" s="31" t="n">
        <v>9</v>
      </c>
      <c r="F19" s="31" t="n">
        <v>22</v>
      </c>
      <c r="G19" s="31" t="n">
        <v>21</v>
      </c>
      <c r="H19" s="31" t="n">
        <f aca="false">B19/AVERAGE($B$2:$B$52)</f>
        <v>0.872779131261513</v>
      </c>
      <c r="I19" s="31" t="n">
        <f aca="false">RANK(B19,$B$2:$B$52,0)</f>
        <v>44</v>
      </c>
    </row>
    <row r="20" customFormat="false" ht="15.75" hidden="false" customHeight="true" outlineLevel="0" collapsed="false">
      <c r="A20" s="24" t="s">
        <v>77</v>
      </c>
      <c r="B20" s="23" t="n">
        <v>2.72</v>
      </c>
      <c r="C20" s="23" t="s">
        <v>99</v>
      </c>
      <c r="D20" s="23" t="n">
        <v>114</v>
      </c>
      <c r="E20" s="23" t="n">
        <v>3</v>
      </c>
      <c r="F20" s="23" t="n">
        <v>31</v>
      </c>
      <c r="G20" s="23" t="n">
        <v>21</v>
      </c>
      <c r="H20" s="23" t="n">
        <f aca="false">B20/AVERAGE($B$2:$B$52)</f>
        <v>0.824291401746985</v>
      </c>
      <c r="I20" s="23" t="n">
        <f aca="false">RANK(B20,$B$2:$B$52,0)</f>
        <v>48</v>
      </c>
    </row>
    <row r="21" customFormat="false" ht="15.75" hidden="false" customHeight="true" outlineLevel="0" collapsed="false">
      <c r="A21" s="30" t="s">
        <v>115</v>
      </c>
      <c r="B21" s="31" t="n">
        <v>3.41</v>
      </c>
      <c r="C21" s="31" t="s">
        <v>101</v>
      </c>
      <c r="D21" s="31" t="n">
        <v>37</v>
      </c>
      <c r="E21" s="31" t="n">
        <v>11</v>
      </c>
      <c r="F21" s="31" t="n">
        <v>4</v>
      </c>
      <c r="G21" s="31" t="n">
        <v>7</v>
      </c>
      <c r="H21" s="31" t="n">
        <f aca="false">B21/AVERAGE($B$2:$B$52)</f>
        <v>1.03339473527839</v>
      </c>
      <c r="I21" s="31" t="n">
        <f aca="false">RANK(B21,$B$2:$B$52,0)</f>
        <v>19</v>
      </c>
    </row>
    <row r="22" customFormat="false" ht="15.75" hidden="false" customHeight="true" outlineLevel="0" collapsed="false">
      <c r="A22" s="24" t="s">
        <v>116</v>
      </c>
      <c r="B22" s="23" t="n">
        <v>3.05</v>
      </c>
      <c r="C22" s="23" t="s">
        <v>99</v>
      </c>
      <c r="D22" s="23" t="n">
        <v>53</v>
      </c>
      <c r="E22" s="23" t="n">
        <v>11</v>
      </c>
      <c r="F22" s="23" t="n">
        <v>10</v>
      </c>
      <c r="G22" s="23" t="n">
        <v>13</v>
      </c>
      <c r="H22" s="23" t="n">
        <f aca="false">B22/AVERAGE($B$2:$B$52)</f>
        <v>0.924297343870699</v>
      </c>
      <c r="I22" s="23" t="n">
        <f aca="false">RANK(B22,$B$2:$B$52,0)</f>
        <v>37</v>
      </c>
    </row>
    <row r="23" customFormat="false" ht="15.75" hidden="false" customHeight="true" outlineLevel="0" collapsed="false">
      <c r="A23" s="30" t="s">
        <v>117</v>
      </c>
      <c r="B23" s="31" t="n">
        <v>3.39</v>
      </c>
      <c r="C23" s="31" t="s">
        <v>101</v>
      </c>
      <c r="D23" s="31" t="n">
        <v>75</v>
      </c>
      <c r="E23" s="31" t="n">
        <v>21</v>
      </c>
      <c r="F23" s="31" t="n">
        <v>8</v>
      </c>
      <c r="G23" s="31" t="n">
        <v>15</v>
      </c>
      <c r="H23" s="31" t="n">
        <f aca="false">B23/AVERAGE($B$2:$B$52)</f>
        <v>1.02733376908907</v>
      </c>
      <c r="I23" s="31" t="n">
        <f aca="false">RANK(B23,$B$2:$B$52,0)</f>
        <v>20</v>
      </c>
    </row>
    <row r="24" customFormat="false" ht="15.75" hidden="false" customHeight="true" outlineLevel="0" collapsed="false">
      <c r="A24" s="24" t="s">
        <v>118</v>
      </c>
      <c r="B24" s="23" t="n">
        <v>3.27</v>
      </c>
      <c r="C24" s="23" t="s">
        <v>101</v>
      </c>
      <c r="D24" s="23" t="n">
        <v>148</v>
      </c>
      <c r="E24" s="23" t="n">
        <v>38</v>
      </c>
      <c r="F24" s="23" t="n">
        <v>19</v>
      </c>
      <c r="G24" s="23" t="n">
        <v>28</v>
      </c>
      <c r="H24" s="23" t="n">
        <f aca="false">B24/AVERAGE($B$2:$B$52)</f>
        <v>0.990967971953176</v>
      </c>
      <c r="I24" s="23" t="n">
        <f aca="false">RANK(B24,$B$2:$B$52,0)</f>
        <v>24</v>
      </c>
    </row>
    <row r="25" customFormat="false" ht="15.75" hidden="false" customHeight="true" outlineLevel="0" collapsed="false">
      <c r="A25" s="30" t="s">
        <v>50</v>
      </c>
      <c r="B25" s="31" t="n">
        <v>3.88</v>
      </c>
      <c r="C25" s="31" t="s">
        <v>101</v>
      </c>
      <c r="D25" s="31" t="n">
        <v>131</v>
      </c>
      <c r="E25" s="31" t="n">
        <v>94</v>
      </c>
      <c r="F25" s="31" t="n">
        <v>2</v>
      </c>
      <c r="G25" s="31" t="n">
        <v>5</v>
      </c>
      <c r="H25" s="31" t="n">
        <f aca="false">B25/AVERAGE($B$2:$B$52)</f>
        <v>1.17582744072732</v>
      </c>
      <c r="I25" s="31" t="n">
        <f aca="false">RANK(B25,$B$2:$B$52,0)</f>
        <v>6</v>
      </c>
    </row>
    <row r="26" customFormat="false" ht="15.75" hidden="false" customHeight="true" outlineLevel="0" collapsed="false">
      <c r="A26" s="24" t="s">
        <v>89</v>
      </c>
      <c r="B26" s="23" t="n">
        <v>2.33</v>
      </c>
      <c r="C26" s="23" t="s">
        <v>99</v>
      </c>
      <c r="D26" s="23" t="n">
        <v>97</v>
      </c>
      <c r="E26" s="23" t="n">
        <v>1</v>
      </c>
      <c r="F26" s="23" t="n">
        <v>36</v>
      </c>
      <c r="G26" s="23" t="n">
        <v>29</v>
      </c>
      <c r="H26" s="23" t="n">
        <f aca="false">B26/AVERAGE($B$2:$B$52)</f>
        <v>0.706102561055321</v>
      </c>
      <c r="I26" s="23" t="n">
        <f aca="false">RANK(B26,$B$2:$B$52,0)</f>
        <v>51</v>
      </c>
    </row>
    <row r="27" customFormat="false" ht="15.75" hidden="false" customHeight="true" outlineLevel="0" collapsed="false">
      <c r="A27" s="30" t="s">
        <v>119</v>
      </c>
      <c r="B27" s="31" t="n">
        <v>3.22</v>
      </c>
      <c r="C27" s="31" t="s">
        <v>101</v>
      </c>
      <c r="D27" s="31" t="n">
        <v>115</v>
      </c>
      <c r="E27" s="31" t="n">
        <v>31</v>
      </c>
      <c r="F27" s="31" t="n">
        <v>16</v>
      </c>
      <c r="G27" s="31" t="n">
        <v>22</v>
      </c>
      <c r="H27" s="31" t="n">
        <f aca="false">B27/AVERAGE($B$2:$B$52)</f>
        <v>0.975815556479886</v>
      </c>
      <c r="I27" s="31" t="n">
        <f aca="false">RANK(B27,$B$2:$B$52,0)</f>
        <v>27</v>
      </c>
    </row>
    <row r="28" customFormat="false" ht="15.75" hidden="false" customHeight="true" outlineLevel="0" collapsed="false">
      <c r="A28" s="24" t="s">
        <v>63</v>
      </c>
      <c r="B28" s="23" t="n">
        <v>3.79</v>
      </c>
      <c r="C28" s="23" t="s">
        <v>101</v>
      </c>
      <c r="D28" s="23" t="n">
        <v>54</v>
      </c>
      <c r="E28" s="23" t="n">
        <v>38</v>
      </c>
      <c r="F28" s="23" t="n">
        <v>2</v>
      </c>
      <c r="G28" s="23" t="n">
        <v>3</v>
      </c>
      <c r="H28" s="23" t="n">
        <f aca="false">B28/AVERAGE($B$2:$B$52)</f>
        <v>1.14855309287539</v>
      </c>
      <c r="I28" s="23" t="n">
        <f aca="false">RANK(B28,$B$2:$B$52,0)</f>
        <v>9</v>
      </c>
    </row>
    <row r="29" customFormat="false" ht="15.75" hidden="false" customHeight="true" outlineLevel="0" collapsed="false">
      <c r="A29" s="30" t="s">
        <v>42</v>
      </c>
      <c r="B29" s="31" t="n">
        <v>3.95</v>
      </c>
      <c r="C29" s="31" t="s">
        <v>101</v>
      </c>
      <c r="D29" s="31" t="n">
        <v>89</v>
      </c>
      <c r="E29" s="31" t="n">
        <v>72</v>
      </c>
      <c r="F29" s="31" t="n">
        <v>1</v>
      </c>
      <c r="G29" s="31" t="n">
        <v>2</v>
      </c>
      <c r="H29" s="31" t="n">
        <f aca="false">B29/AVERAGE($B$2:$B$52)</f>
        <v>1.19704082238992</v>
      </c>
      <c r="I29" s="31" t="n">
        <f aca="false">RANK(B29,$B$2:$B$52,0)</f>
        <v>4</v>
      </c>
    </row>
    <row r="30" customFormat="false" ht="15.75" hidden="false" customHeight="true" outlineLevel="0" collapsed="false">
      <c r="A30" s="24" t="s">
        <v>120</v>
      </c>
      <c r="B30" s="23" t="n">
        <v>2.98</v>
      </c>
      <c r="C30" s="23" t="s">
        <v>99</v>
      </c>
      <c r="D30" s="23" t="n">
        <v>47</v>
      </c>
      <c r="E30" s="23" t="n">
        <v>8</v>
      </c>
      <c r="F30" s="23" t="n">
        <v>9</v>
      </c>
      <c r="G30" s="23" t="n">
        <v>11</v>
      </c>
      <c r="H30" s="23" t="n">
        <f aca="false">B30/AVERAGE($B$2:$B$52)</f>
        <v>0.903083962208093</v>
      </c>
      <c r="I30" s="23" t="n">
        <f aca="false">RANK(B30,$B$2:$B$52,0)</f>
        <v>39</v>
      </c>
    </row>
    <row r="31" customFormat="false" ht="15.75" hidden="false" customHeight="true" outlineLevel="0" collapsed="false">
      <c r="A31" s="30" t="s">
        <v>121</v>
      </c>
      <c r="B31" s="31" t="n">
        <v>3.52</v>
      </c>
      <c r="C31" s="31" t="s">
        <v>101</v>
      </c>
      <c r="D31" s="31" t="n">
        <v>28</v>
      </c>
      <c r="E31" s="31" t="n">
        <v>8</v>
      </c>
      <c r="F31" s="31" t="n">
        <v>2</v>
      </c>
      <c r="G31" s="31" t="n">
        <v>5</v>
      </c>
      <c r="H31" s="31" t="n">
        <f aca="false">B31/AVERAGE($B$2:$B$52)</f>
        <v>1.06673004931963</v>
      </c>
      <c r="I31" s="31" t="n">
        <f aca="false">RANK(B31,$B$2:$B$52,0)</f>
        <v>15</v>
      </c>
    </row>
    <row r="32" customFormat="false" ht="15.75" hidden="false" customHeight="true" outlineLevel="0" collapsed="false">
      <c r="A32" s="24" t="s">
        <v>71</v>
      </c>
      <c r="B32" s="23" t="n">
        <v>2.81</v>
      </c>
      <c r="C32" s="23" t="s">
        <v>99</v>
      </c>
      <c r="D32" s="23" t="n">
        <v>72</v>
      </c>
      <c r="E32" s="23" t="n">
        <v>4</v>
      </c>
      <c r="F32" s="23" t="n">
        <v>28</v>
      </c>
      <c r="G32" s="23" t="n">
        <v>19</v>
      </c>
      <c r="H32" s="23" t="n">
        <f aca="false">B32/AVERAGE($B$2:$B$52)</f>
        <v>0.851565749598907</v>
      </c>
      <c r="I32" s="23" t="n">
        <f aca="false">RANK(B32,$B$2:$B$52,0)</f>
        <v>46</v>
      </c>
    </row>
    <row r="33" customFormat="false" ht="15.75" hidden="false" customHeight="true" outlineLevel="0" collapsed="false">
      <c r="A33" s="30" t="s">
        <v>122</v>
      </c>
      <c r="B33" s="31" t="n">
        <v>2.94</v>
      </c>
      <c r="C33" s="31" t="s">
        <v>99</v>
      </c>
      <c r="D33" s="31" t="n">
        <v>43</v>
      </c>
      <c r="E33" s="31" t="n">
        <v>5</v>
      </c>
      <c r="F33" s="31" t="n">
        <v>9</v>
      </c>
      <c r="G33" s="31" t="n">
        <v>9</v>
      </c>
      <c r="H33" s="31" t="n">
        <f aca="false">B33/AVERAGE($B$2:$B$52)</f>
        <v>0.890962029829461</v>
      </c>
      <c r="I33" s="31" t="n">
        <f aca="false">RANK(B33,$B$2:$B$52,0)</f>
        <v>42</v>
      </c>
    </row>
    <row r="34" customFormat="false" ht="15.75" hidden="false" customHeight="true" outlineLevel="0" collapsed="false">
      <c r="A34" s="24" t="s">
        <v>123</v>
      </c>
      <c r="B34" s="23" t="n">
        <v>3.07</v>
      </c>
      <c r="C34" s="23" t="s">
        <v>99</v>
      </c>
      <c r="D34" s="23" t="n">
        <v>185</v>
      </c>
      <c r="E34" s="23" t="n">
        <v>39</v>
      </c>
      <c r="F34" s="23" t="n">
        <v>31</v>
      </c>
      <c r="G34" s="23" t="n">
        <v>42</v>
      </c>
      <c r="H34" s="23" t="n">
        <f aca="false">B34/AVERAGE($B$2:$B$52)</f>
        <v>0.930358310060015</v>
      </c>
      <c r="I34" s="23" t="n">
        <f aca="false">RANK(B34,$B$2:$B$52,0)</f>
        <v>35</v>
      </c>
    </row>
    <row r="35" customFormat="false" ht="15.75" hidden="false" customHeight="true" outlineLevel="0" collapsed="false">
      <c r="A35" s="30" t="s">
        <v>124</v>
      </c>
      <c r="B35" s="31" t="n">
        <v>3.18</v>
      </c>
      <c r="C35" s="31" t="s">
        <v>99</v>
      </c>
      <c r="D35" s="31" t="n">
        <v>117</v>
      </c>
      <c r="E35" s="31" t="n">
        <v>28</v>
      </c>
      <c r="F35" s="31" t="n">
        <v>16</v>
      </c>
      <c r="G35" s="31" t="n">
        <v>24</v>
      </c>
      <c r="H35" s="31" t="n">
        <f aca="false">B35/AVERAGE($B$2:$B$52)</f>
        <v>0.963693624101254</v>
      </c>
      <c r="I35" s="31" t="n">
        <f aca="false">RANK(B35,$B$2:$B$52,0)</f>
        <v>30</v>
      </c>
    </row>
    <row r="36" customFormat="false" ht="15.75" hidden="false" customHeight="true" outlineLevel="0" collapsed="false">
      <c r="A36" s="24" t="s">
        <v>125</v>
      </c>
      <c r="B36" s="23" t="n">
        <v>3.74</v>
      </c>
      <c r="C36" s="23" t="s">
        <v>101</v>
      </c>
      <c r="D36" s="23" t="n">
        <v>42</v>
      </c>
      <c r="E36" s="23" t="n">
        <v>29</v>
      </c>
      <c r="F36" s="23" t="n">
        <v>2</v>
      </c>
      <c r="G36" s="23" t="n">
        <v>3</v>
      </c>
      <c r="H36" s="23" t="n">
        <f aca="false">B36/AVERAGE($B$2:$B$52)</f>
        <v>1.1334006774021</v>
      </c>
      <c r="I36" s="23" t="n">
        <f aca="false">RANK(B36,$B$2:$B$52,0)</f>
        <v>11</v>
      </c>
    </row>
    <row r="37" customFormat="false" ht="15.75" hidden="false" customHeight="true" outlineLevel="0" collapsed="false">
      <c r="A37" s="30" t="s">
        <v>126</v>
      </c>
      <c r="B37" s="31" t="n">
        <v>3.36</v>
      </c>
      <c r="C37" s="31" t="s">
        <v>101</v>
      </c>
      <c r="D37" s="31" t="n">
        <v>172</v>
      </c>
      <c r="E37" s="31" t="n">
        <v>53</v>
      </c>
      <c r="F37" s="31" t="n">
        <v>20</v>
      </c>
      <c r="G37" s="31" t="n">
        <v>34</v>
      </c>
      <c r="H37" s="31" t="n">
        <f aca="false">B37/AVERAGE($B$2:$B$52)</f>
        <v>1.0182423198051</v>
      </c>
      <c r="I37" s="31" t="n">
        <f aca="false">RANK(B37,$B$2:$B$52,0)</f>
        <v>22</v>
      </c>
    </row>
    <row r="38" customFormat="false" ht="15.75" hidden="false" customHeight="true" outlineLevel="0" collapsed="false">
      <c r="A38" s="24" t="s">
        <v>127</v>
      </c>
      <c r="B38" s="23" t="n">
        <v>3.09</v>
      </c>
      <c r="C38" s="23" t="s">
        <v>99</v>
      </c>
      <c r="D38" s="23" t="n">
        <v>109</v>
      </c>
      <c r="E38" s="23" t="n">
        <v>22</v>
      </c>
      <c r="F38" s="23" t="n">
        <v>18</v>
      </c>
      <c r="G38" s="23" t="n">
        <v>22</v>
      </c>
      <c r="H38" s="23" t="n">
        <f aca="false">B38/AVERAGE($B$2:$B$52)</f>
        <v>0.936419276249332</v>
      </c>
      <c r="I38" s="23" t="n">
        <f aca="false">RANK(B38,$B$2:$B$52,0)</f>
        <v>33</v>
      </c>
    </row>
    <row r="39" customFormat="false" ht="15.75" hidden="false" customHeight="true" outlineLevel="0" collapsed="false">
      <c r="A39" s="30" t="s">
        <v>67</v>
      </c>
      <c r="B39" s="31" t="n">
        <v>3.77</v>
      </c>
      <c r="C39" s="31" t="s">
        <v>101</v>
      </c>
      <c r="D39" s="31" t="n">
        <v>63</v>
      </c>
      <c r="E39" s="31" t="n">
        <v>42</v>
      </c>
      <c r="F39" s="31" t="n">
        <v>3</v>
      </c>
      <c r="G39" s="31" t="n">
        <v>5</v>
      </c>
      <c r="H39" s="31" t="n">
        <f aca="false">B39/AVERAGE($B$2:$B$52)</f>
        <v>1.14249212668608</v>
      </c>
      <c r="I39" s="31" t="n">
        <f aca="false">RANK(B39,$B$2:$B$52,0)</f>
        <v>10</v>
      </c>
    </row>
    <row r="40" customFormat="false" ht="15.75" hidden="false" customHeight="true" outlineLevel="0" collapsed="false">
      <c r="A40" s="24" t="s">
        <v>128</v>
      </c>
      <c r="B40" s="23" t="n">
        <v>3.24</v>
      </c>
      <c r="C40" s="23" t="s">
        <v>101</v>
      </c>
      <c r="D40" s="23" t="n">
        <v>175</v>
      </c>
      <c r="E40" s="23" t="n">
        <v>47</v>
      </c>
      <c r="F40" s="23" t="n">
        <v>22</v>
      </c>
      <c r="G40" s="23" t="n">
        <v>36</v>
      </c>
      <c r="H40" s="23" t="n">
        <f aca="false">B40/AVERAGE($B$2:$B$52)</f>
        <v>0.981876522669202</v>
      </c>
      <c r="I40" s="23" t="n">
        <f aca="false">RANK(B40,$B$2:$B$52,0)</f>
        <v>25</v>
      </c>
    </row>
    <row r="41" customFormat="false" ht="15.75" hidden="false" customHeight="true" outlineLevel="0" collapsed="false">
      <c r="A41" s="30" t="s">
        <v>129</v>
      </c>
      <c r="B41" s="31" t="n">
        <v>3.14</v>
      </c>
      <c r="C41" s="31" t="s">
        <v>99</v>
      </c>
      <c r="D41" s="31" t="n">
        <v>11</v>
      </c>
      <c r="E41" s="31" t="n">
        <v>2</v>
      </c>
      <c r="F41" s="31" t="n">
        <v>2</v>
      </c>
      <c r="G41" s="31" t="n">
        <v>3</v>
      </c>
      <c r="H41" s="31" t="n">
        <f aca="false">B41/AVERAGE($B$2:$B$52)</f>
        <v>0.951571691722622</v>
      </c>
      <c r="I41" s="31" t="n">
        <f aca="false">RANK(B41,$B$2:$B$52,0)</f>
        <v>32</v>
      </c>
    </row>
    <row r="42" customFormat="false" ht="15.75" hidden="false" customHeight="true" outlineLevel="0" collapsed="false">
      <c r="A42" s="24" t="s">
        <v>130</v>
      </c>
      <c r="B42" s="23" t="n">
        <v>2.89</v>
      </c>
      <c r="C42" s="23" t="s">
        <v>99</v>
      </c>
      <c r="D42" s="23" t="n">
        <v>68</v>
      </c>
      <c r="E42" s="23" t="n">
        <v>9</v>
      </c>
      <c r="F42" s="23" t="n">
        <v>12</v>
      </c>
      <c r="G42" s="23" t="n">
        <v>15</v>
      </c>
      <c r="H42" s="23" t="n">
        <f aca="false">B42/AVERAGE($B$2:$B$52)</f>
        <v>0.875809614356171</v>
      </c>
      <c r="I42" s="23" t="n">
        <f aca="false">RANK(B42,$B$2:$B$52,0)</f>
        <v>43</v>
      </c>
    </row>
    <row r="43" customFormat="false" ht="15.75" hidden="false" customHeight="true" outlineLevel="0" collapsed="false">
      <c r="A43" s="30" t="s">
        <v>34</v>
      </c>
      <c r="B43" s="31" t="n">
        <v>4.1</v>
      </c>
      <c r="C43" s="31" t="s">
        <v>101</v>
      </c>
      <c r="D43" s="31" t="n">
        <v>50</v>
      </c>
      <c r="E43" s="31" t="n">
        <v>38</v>
      </c>
      <c r="F43" s="31" t="n">
        <v>0</v>
      </c>
      <c r="G43" s="31" t="n">
        <v>1</v>
      </c>
      <c r="H43" s="31" t="n">
        <f aca="false">B43/AVERAGE($B$2:$B$52)</f>
        <v>1.24249806880979</v>
      </c>
      <c r="I43" s="31" t="n">
        <f aca="false">RANK(B43,$B$2:$B$52,0)</f>
        <v>2</v>
      </c>
    </row>
    <row r="44" customFormat="false" ht="15.75" hidden="false" customHeight="true" outlineLevel="0" collapsed="false">
      <c r="A44" s="24" t="s">
        <v>131</v>
      </c>
      <c r="B44" s="23" t="n">
        <v>2.95</v>
      </c>
      <c r="C44" s="23" t="s">
        <v>99</v>
      </c>
      <c r="D44" s="23" t="n">
        <v>125</v>
      </c>
      <c r="E44" s="23" t="n">
        <v>18</v>
      </c>
      <c r="F44" s="23" t="n">
        <v>24</v>
      </c>
      <c r="G44" s="23" t="n">
        <v>27</v>
      </c>
      <c r="H44" s="23" t="n">
        <f aca="false">B44/AVERAGE($B$2:$B$52)</f>
        <v>0.893992512924119</v>
      </c>
      <c r="I44" s="23" t="n">
        <f aca="false">RANK(B44,$B$2:$B$52,0)</f>
        <v>41</v>
      </c>
    </row>
    <row r="45" customFormat="false" ht="15.75" hidden="false" customHeight="true" outlineLevel="0" collapsed="false">
      <c r="A45" s="30" t="s">
        <v>132</v>
      </c>
      <c r="B45" s="31" t="n">
        <v>3.04</v>
      </c>
      <c r="C45" s="31" t="s">
        <v>99</v>
      </c>
      <c r="D45" s="31" t="n">
        <v>424</v>
      </c>
      <c r="E45" s="31" t="n">
        <v>82</v>
      </c>
      <c r="F45" s="31" t="n">
        <v>71</v>
      </c>
      <c r="G45" s="31" t="n">
        <v>89</v>
      </c>
      <c r="H45" s="31" t="n">
        <f aca="false">B45/AVERAGE($B$2:$B$52)</f>
        <v>0.921266860776041</v>
      </c>
      <c r="I45" s="31" t="n">
        <f aca="false">RANK(B45,$B$2:$B$52,0)</f>
        <v>38</v>
      </c>
    </row>
    <row r="46" customFormat="false" ht="15.75" hidden="false" customHeight="true" outlineLevel="0" collapsed="false">
      <c r="A46" s="24" t="s">
        <v>9</v>
      </c>
      <c r="B46" s="23" t="n">
        <v>4.24</v>
      </c>
      <c r="C46" s="23" t="s">
        <v>101</v>
      </c>
      <c r="D46" s="23" t="n">
        <v>46</v>
      </c>
      <c r="E46" s="23" t="n">
        <v>45</v>
      </c>
      <c r="F46" s="23" t="n">
        <v>0</v>
      </c>
      <c r="G46" s="23" t="n">
        <v>0</v>
      </c>
      <c r="H46" s="23" t="n">
        <f aca="false">B46/AVERAGE($B$2:$B$52)</f>
        <v>1.28492483213501</v>
      </c>
      <c r="I46" s="23" t="n">
        <f aca="false">RANK(B46,$B$2:$B$52,0)</f>
        <v>1</v>
      </c>
    </row>
    <row r="47" customFormat="false" ht="15.75" hidden="false" customHeight="true" outlineLevel="0" collapsed="false">
      <c r="A47" s="30" t="s">
        <v>133</v>
      </c>
      <c r="B47" s="31" t="n">
        <v>3.38</v>
      </c>
      <c r="C47" s="31" t="s">
        <v>101</v>
      </c>
      <c r="D47" s="31" t="n">
        <v>15</v>
      </c>
      <c r="E47" s="31" t="n">
        <v>4</v>
      </c>
      <c r="F47" s="31" t="n">
        <v>1</v>
      </c>
      <c r="G47" s="31" t="n">
        <v>3</v>
      </c>
      <c r="H47" s="31" t="n">
        <f aca="false">B47/AVERAGE($B$2:$B$52)</f>
        <v>1.02430328599441</v>
      </c>
      <c r="I47" s="31" t="n">
        <f aca="false">RANK(B47,$B$2:$B$52,0)</f>
        <v>21</v>
      </c>
    </row>
    <row r="48" customFormat="false" ht="15.75" hidden="false" customHeight="true" outlineLevel="0" collapsed="false">
      <c r="A48" s="24" t="s">
        <v>134</v>
      </c>
      <c r="B48" s="23" t="n">
        <v>3.21</v>
      </c>
      <c r="C48" s="23" t="s">
        <v>101</v>
      </c>
      <c r="D48" s="23" t="n">
        <v>101</v>
      </c>
      <c r="E48" s="23" t="n">
        <v>24</v>
      </c>
      <c r="F48" s="23" t="n">
        <v>14</v>
      </c>
      <c r="G48" s="23" t="n">
        <v>21</v>
      </c>
      <c r="H48" s="23" t="n">
        <f aca="false">B48/AVERAGE($B$2:$B$52)</f>
        <v>0.972785073385228</v>
      </c>
      <c r="I48" s="23" t="n">
        <f aca="false">RANK(B48,$B$2:$B$52,0)</f>
        <v>28</v>
      </c>
    </row>
    <row r="49" customFormat="false" ht="15.75" hidden="false" customHeight="true" outlineLevel="0" collapsed="false">
      <c r="A49" s="30" t="s">
        <v>135</v>
      </c>
      <c r="B49" s="31" t="n">
        <v>3.61</v>
      </c>
      <c r="C49" s="31" t="s">
        <v>101</v>
      </c>
      <c r="D49" s="31" t="n">
        <v>99</v>
      </c>
      <c r="E49" s="31" t="n">
        <v>41</v>
      </c>
      <c r="F49" s="31" t="n">
        <v>7</v>
      </c>
      <c r="G49" s="31" t="n">
        <v>14</v>
      </c>
      <c r="H49" s="31" t="n">
        <f aca="false">B49/AVERAGE($B$2:$B$52)</f>
        <v>1.09400439717155</v>
      </c>
      <c r="I49" s="31" t="n">
        <f aca="false">RANK(B49,$B$2:$B$52,0)</f>
        <v>14</v>
      </c>
    </row>
    <row r="50" customFormat="false" ht="15.75" hidden="false" customHeight="true" outlineLevel="0" collapsed="false">
      <c r="A50" s="24" t="s">
        <v>136</v>
      </c>
      <c r="B50" s="23" t="n">
        <v>2.83</v>
      </c>
      <c r="C50" s="23" t="s">
        <v>99</v>
      </c>
      <c r="D50" s="23" t="n">
        <v>57</v>
      </c>
      <c r="E50" s="23" t="n">
        <v>5</v>
      </c>
      <c r="F50" s="23" t="n">
        <v>11</v>
      </c>
      <c r="G50" s="23" t="n">
        <v>13</v>
      </c>
      <c r="H50" s="23" t="n">
        <f aca="false">B50/AVERAGE($B$2:$B$52)</f>
        <v>0.857626715788223</v>
      </c>
      <c r="I50" s="23" t="n">
        <f aca="false">RANK(B50,$B$2:$B$52,0)</f>
        <v>45</v>
      </c>
    </row>
    <row r="51" customFormat="false" ht="15.75" hidden="false" customHeight="true" outlineLevel="0" collapsed="false">
      <c r="A51" s="30" t="s">
        <v>38</v>
      </c>
      <c r="B51" s="31" t="n">
        <v>3.98</v>
      </c>
      <c r="C51" s="31" t="s">
        <v>101</v>
      </c>
      <c r="D51" s="31" t="n">
        <v>124</v>
      </c>
      <c r="E51" s="31" t="n">
        <v>87</v>
      </c>
      <c r="F51" s="31" t="n">
        <v>2</v>
      </c>
      <c r="G51" s="31" t="n">
        <v>3</v>
      </c>
      <c r="H51" s="31" t="n">
        <f aca="false">B51/AVERAGE($B$2:$B$52)</f>
        <v>1.2061322716739</v>
      </c>
      <c r="I51" s="31" t="n">
        <f aca="false">RANK(B51,$B$2:$B$52,0)</f>
        <v>3</v>
      </c>
    </row>
    <row r="52" customFormat="false" ht="15.75" hidden="false" customHeight="true" outlineLevel="0" collapsed="false">
      <c r="A52" s="24" t="s">
        <v>137</v>
      </c>
      <c r="B52" s="23" t="n">
        <v>3.71</v>
      </c>
      <c r="C52" s="23" t="s">
        <v>101</v>
      </c>
      <c r="D52" s="23" t="n">
        <v>28</v>
      </c>
      <c r="E52" s="23" t="n">
        <v>19</v>
      </c>
      <c r="F52" s="23" t="n">
        <v>1</v>
      </c>
      <c r="G52" s="23" t="n">
        <v>2</v>
      </c>
      <c r="H52" s="23" t="n">
        <f aca="false">B52/AVERAGE($B$2:$B$52)</f>
        <v>1.12430922811813</v>
      </c>
      <c r="I52" s="23" t="n">
        <f aca="false">RANK(B52,$B$2:$B$52,0)</f>
        <v>12</v>
      </c>
    </row>
    <row r="53" customFormat="false" ht="15" hidden="false" customHeight="false" outlineLevel="0" collapsed="false">
      <c r="A53" s="32" t="s">
        <v>138</v>
      </c>
      <c r="B53" s="33" t="n">
        <f aca="false">AVERAGE(B2:B52)</f>
        <v>3.29980392156863</v>
      </c>
      <c r="C53" s="34"/>
      <c r="D53" s="33" t="n">
        <f aca="false">SUM(D2:D52)</f>
        <v>5051</v>
      </c>
      <c r="E53" s="33" t="n">
        <f aca="false">SUM(E2:E52)</f>
        <v>1569</v>
      </c>
      <c r="F53" s="33" t="n">
        <f aca="false">SUM(F2:F52)</f>
        <v>719</v>
      </c>
      <c r="G53" s="33" t="n">
        <f aca="false">SUM(G2:G52)</f>
        <v>864</v>
      </c>
      <c r="H53" s="34"/>
      <c r="I53" s="34"/>
    </row>
  </sheetData>
  <conditionalFormatting sqref="B2:B52">
    <cfRule type="colorScale" priority="2">
      <colorScale>
        <cfvo type="min" val="0"/>
        <cfvo type="percentile" val="50"/>
        <cfvo type="max" val="0"/>
        <color rgb="FFC0392B"/>
        <color rgb="FFF4D03F"/>
        <color rgb="FF1A6B5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5"/>
  </cols>
  <sheetData>
    <row r="1" customFormat="false" ht="27.75" hidden="false" customHeight="true" outlineLevel="0" collapsed="false">
      <c r="A1" s="35" t="s">
        <v>139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3.5" hidden="false" customHeight="true" outlineLevel="0" collapsed="false">
      <c r="A2" s="36" t="s">
        <v>140</v>
      </c>
      <c r="B2" s="36"/>
      <c r="C2" s="36"/>
      <c r="D2" s="36"/>
      <c r="E2" s="36"/>
      <c r="F2" s="36"/>
      <c r="G2" s="36"/>
      <c r="H2" s="36"/>
      <c r="I2" s="36"/>
      <c r="J2" s="36"/>
    </row>
    <row r="3" customFormat="false" ht="13.5" hidden="false" customHeight="true" outlineLevel="0" collapsed="false">
      <c r="A3" s="36"/>
      <c r="B3" s="36"/>
      <c r="C3" s="36"/>
      <c r="D3" s="36"/>
      <c r="E3" s="36"/>
      <c r="F3" s="36"/>
      <c r="G3" s="36"/>
      <c r="H3" s="36"/>
      <c r="I3" s="36"/>
      <c r="J3" s="36"/>
    </row>
    <row r="4" customFormat="false" ht="13.5" hidden="false" customHeight="true" outlineLevel="0" collapsed="false">
      <c r="A4" s="36"/>
      <c r="B4" s="36"/>
      <c r="C4" s="36"/>
      <c r="D4" s="36"/>
      <c r="E4" s="36"/>
      <c r="F4" s="36"/>
      <c r="G4" s="36"/>
      <c r="H4" s="36"/>
      <c r="I4" s="36"/>
      <c r="J4" s="36"/>
    </row>
    <row r="5" customFormat="false" ht="21.75" hidden="false" customHeight="true" outlineLevel="0" collapsed="false">
      <c r="A5" s="37" t="s">
        <v>141</v>
      </c>
      <c r="B5" s="37"/>
      <c r="C5" s="38" t="s">
        <v>142</v>
      </c>
    </row>
    <row r="8" customFormat="false" ht="18" hidden="false" customHeight="true" outlineLevel="0" collapsed="false">
      <c r="A8" s="39" t="s">
        <v>143</v>
      </c>
      <c r="B8" s="40" t="n">
        <v>3.21</v>
      </c>
    </row>
    <row r="9" customFormat="false" ht="18" hidden="false" customHeight="true" outlineLevel="0" collapsed="false">
      <c r="A9" s="39" t="s">
        <v>144</v>
      </c>
      <c r="B9" s="40" t="n">
        <v>1.02</v>
      </c>
    </row>
    <row r="10" customFormat="false" ht="18" hidden="false" customHeight="true" outlineLevel="0" collapsed="false">
      <c r="A10" s="39" t="s">
        <v>145</v>
      </c>
      <c r="B10" s="40" t="n">
        <f aca="false">B8-(2*B9)</f>
        <v>1.17</v>
      </c>
    </row>
    <row r="11" customFormat="false" ht="18" hidden="false" customHeight="true" outlineLevel="0" collapsed="false">
      <c r="A11" s="39" t="s">
        <v>146</v>
      </c>
      <c r="B11" s="40" t="n">
        <v>199</v>
      </c>
    </row>
    <row r="13" customFormat="false" ht="27.75" hidden="false" customHeight="true" outlineLevel="0" collapsed="false">
      <c r="A13" s="19" t="s">
        <v>147</v>
      </c>
      <c r="B13" s="19" t="s">
        <v>18</v>
      </c>
      <c r="C13" s="19" t="s">
        <v>148</v>
      </c>
      <c r="D13" s="19" t="s">
        <v>149</v>
      </c>
      <c r="E13" s="19" t="s">
        <v>150</v>
      </c>
      <c r="F13" s="19" t="s">
        <v>151</v>
      </c>
      <c r="G13" s="19" t="s">
        <v>152</v>
      </c>
      <c r="H13" s="19" t="s">
        <v>153</v>
      </c>
      <c r="I13" s="19" t="s">
        <v>154</v>
      </c>
      <c r="J13" s="19" t="s">
        <v>155</v>
      </c>
    </row>
    <row r="14" customFormat="false" ht="15.75" hidden="false" customHeight="true" outlineLevel="0" collapsed="false">
      <c r="A14" s="26" t="s">
        <v>156</v>
      </c>
      <c r="B14" s="25" t="s">
        <v>157</v>
      </c>
      <c r="C14" s="25" t="n">
        <v>1</v>
      </c>
      <c r="D14" s="25" t="n">
        <v>-2.17</v>
      </c>
      <c r="E14" s="41" t="str">
        <f aca="false">IF(C14&lt;$B$10,"⚠ ANOMALY","Normal")</f>
        <v>⚠ ANOMALY</v>
      </c>
      <c r="F14" s="25" t="s">
        <v>158</v>
      </c>
      <c r="G14" s="25" t="s">
        <v>159</v>
      </c>
      <c r="H14" s="25" t="s">
        <v>160</v>
      </c>
      <c r="I14" s="25" t="s">
        <v>161</v>
      </c>
      <c r="J14" s="25" t="s">
        <v>162</v>
      </c>
    </row>
    <row r="15" customFormat="false" ht="15.75" hidden="false" customHeight="true" outlineLevel="0" collapsed="false">
      <c r="A15" s="26" t="s">
        <v>163</v>
      </c>
      <c r="B15" s="25" t="s">
        <v>157</v>
      </c>
      <c r="C15" s="25" t="n">
        <v>1</v>
      </c>
      <c r="D15" s="25" t="n">
        <v>-2.17</v>
      </c>
      <c r="E15" s="41" t="str">
        <f aca="false">IF(C15&lt;$B$10,"⚠ ANOMALY","Normal")</f>
        <v>⚠ ANOMALY</v>
      </c>
      <c r="F15" s="25" t="s">
        <v>158</v>
      </c>
      <c r="G15" s="25" t="s">
        <v>159</v>
      </c>
      <c r="H15" s="25" t="s">
        <v>164</v>
      </c>
      <c r="I15" s="25" t="s">
        <v>161</v>
      </c>
      <c r="J15" s="25" t="s">
        <v>162</v>
      </c>
    </row>
    <row r="16" customFormat="false" ht="15.75" hidden="false" customHeight="true" outlineLevel="0" collapsed="false">
      <c r="A16" s="26" t="s">
        <v>165</v>
      </c>
      <c r="B16" s="25" t="s">
        <v>157</v>
      </c>
      <c r="C16" s="25" t="n">
        <v>1</v>
      </c>
      <c r="D16" s="25" t="n">
        <v>-2.17</v>
      </c>
      <c r="E16" s="41" t="str">
        <f aca="false">IF(C16&lt;$B$10,"⚠ ANOMALY","Normal")</f>
        <v>⚠ ANOMALY</v>
      </c>
      <c r="F16" s="25" t="s">
        <v>166</v>
      </c>
      <c r="G16" s="25" t="s">
        <v>159</v>
      </c>
      <c r="H16" s="25" t="s">
        <v>164</v>
      </c>
      <c r="I16" s="25" t="s">
        <v>161</v>
      </c>
      <c r="J16" s="25" t="s">
        <v>162</v>
      </c>
    </row>
    <row r="17" customFormat="false" ht="15.75" hidden="false" customHeight="true" outlineLevel="0" collapsed="false">
      <c r="A17" s="26" t="s">
        <v>167</v>
      </c>
      <c r="B17" s="25" t="s">
        <v>157</v>
      </c>
      <c r="C17" s="25" t="n">
        <v>1</v>
      </c>
      <c r="D17" s="25" t="n">
        <v>-2.17</v>
      </c>
      <c r="E17" s="41" t="str">
        <f aca="false">IF(C17&lt;$B$10,"⚠ ANOMALY","Normal")</f>
        <v>⚠ ANOMALY</v>
      </c>
      <c r="F17" s="25" t="s">
        <v>158</v>
      </c>
      <c r="G17" s="25" t="s">
        <v>168</v>
      </c>
      <c r="H17" s="25" t="s">
        <v>160</v>
      </c>
      <c r="I17" s="25" t="s">
        <v>161</v>
      </c>
      <c r="J17" s="25" t="s">
        <v>162</v>
      </c>
    </row>
    <row r="18" customFormat="false" ht="15.75" hidden="false" customHeight="true" outlineLevel="0" collapsed="false">
      <c r="A18" s="26" t="s">
        <v>169</v>
      </c>
      <c r="B18" s="25" t="s">
        <v>170</v>
      </c>
      <c r="C18" s="25" t="n">
        <v>1</v>
      </c>
      <c r="D18" s="25" t="n">
        <v>-2.17</v>
      </c>
      <c r="E18" s="41" t="str">
        <f aca="false">IF(C18&lt;$B$10,"⚠ ANOMALY","Normal")</f>
        <v>⚠ ANOMALY</v>
      </c>
      <c r="F18" s="25" t="s">
        <v>166</v>
      </c>
      <c r="G18" s="25" t="s">
        <v>159</v>
      </c>
      <c r="H18" s="25" t="s">
        <v>164</v>
      </c>
      <c r="I18" s="25" t="s">
        <v>161</v>
      </c>
      <c r="J18" s="25" t="s">
        <v>162</v>
      </c>
    </row>
    <row r="19" customFormat="false" ht="15.75" hidden="false" customHeight="true" outlineLevel="0" collapsed="false">
      <c r="A19" s="26" t="s">
        <v>171</v>
      </c>
      <c r="B19" s="25" t="s">
        <v>170</v>
      </c>
      <c r="C19" s="25" t="n">
        <v>1</v>
      </c>
      <c r="D19" s="25" t="n">
        <v>-2.17</v>
      </c>
      <c r="E19" s="41" t="str">
        <f aca="false">IF(C19&lt;$B$10,"⚠ ANOMALY","Normal")</f>
        <v>⚠ ANOMALY</v>
      </c>
      <c r="F19" s="25" t="s">
        <v>172</v>
      </c>
      <c r="G19" s="25" t="s">
        <v>159</v>
      </c>
      <c r="H19" s="25" t="s">
        <v>164</v>
      </c>
      <c r="I19" s="25" t="s">
        <v>161</v>
      </c>
      <c r="J19" s="25" t="s">
        <v>162</v>
      </c>
    </row>
    <row r="20" customFormat="false" ht="15.75" hidden="false" customHeight="true" outlineLevel="0" collapsed="false">
      <c r="A20" s="26" t="s">
        <v>173</v>
      </c>
      <c r="B20" s="25" t="s">
        <v>170</v>
      </c>
      <c r="C20" s="25" t="n">
        <v>1</v>
      </c>
      <c r="D20" s="25" t="n">
        <v>-2.17</v>
      </c>
      <c r="E20" s="41" t="str">
        <f aca="false">IF(C20&lt;$B$10,"⚠ ANOMALY","Normal")</f>
        <v>⚠ ANOMALY</v>
      </c>
      <c r="F20" s="25" t="s">
        <v>158</v>
      </c>
      <c r="G20" s="25" t="s">
        <v>159</v>
      </c>
      <c r="H20" s="25" t="s">
        <v>164</v>
      </c>
      <c r="I20" s="25" t="s">
        <v>161</v>
      </c>
      <c r="J20" s="25" t="s">
        <v>162</v>
      </c>
    </row>
    <row r="21" customFormat="false" ht="15.75" hidden="false" customHeight="true" outlineLevel="0" collapsed="false">
      <c r="A21" s="26" t="s">
        <v>174</v>
      </c>
      <c r="B21" s="25" t="s">
        <v>170</v>
      </c>
      <c r="C21" s="25" t="n">
        <v>1</v>
      </c>
      <c r="D21" s="25" t="n">
        <v>-2.17</v>
      </c>
      <c r="E21" s="41" t="str">
        <f aca="false">IF(C21&lt;$B$10,"⚠ ANOMALY","Normal")</f>
        <v>⚠ ANOMALY</v>
      </c>
      <c r="F21" s="25" t="s">
        <v>158</v>
      </c>
      <c r="G21" s="25" t="s">
        <v>168</v>
      </c>
      <c r="H21" s="25" t="s">
        <v>160</v>
      </c>
      <c r="I21" s="25" t="s">
        <v>161</v>
      </c>
      <c r="J21" s="25" t="s">
        <v>162</v>
      </c>
    </row>
    <row r="22" customFormat="false" ht="15.75" hidden="false" customHeight="true" outlineLevel="0" collapsed="false">
      <c r="A22" s="26" t="s">
        <v>175</v>
      </c>
      <c r="B22" s="25" t="s">
        <v>176</v>
      </c>
      <c r="C22" s="25" t="n">
        <v>1</v>
      </c>
      <c r="D22" s="25" t="n">
        <v>-2.17</v>
      </c>
      <c r="E22" s="41" t="str">
        <f aca="false">IF(C22&lt;$B$10,"⚠ ANOMALY","Normal")</f>
        <v>⚠ ANOMALY</v>
      </c>
      <c r="F22" s="25" t="s">
        <v>172</v>
      </c>
      <c r="G22" s="25" t="s">
        <v>159</v>
      </c>
      <c r="H22" s="25" t="s">
        <v>164</v>
      </c>
      <c r="I22" s="25" t="s">
        <v>161</v>
      </c>
      <c r="J22" s="25" t="s">
        <v>162</v>
      </c>
    </row>
    <row r="23" customFormat="false" ht="15.75" hidden="false" customHeight="true" outlineLevel="0" collapsed="false">
      <c r="A23" s="26" t="s">
        <v>177</v>
      </c>
      <c r="B23" s="25" t="s">
        <v>176</v>
      </c>
      <c r="C23" s="25" t="n">
        <v>1</v>
      </c>
      <c r="D23" s="25" t="n">
        <v>-2.17</v>
      </c>
      <c r="E23" s="41" t="str">
        <f aca="false">IF(C23&lt;$B$10,"⚠ ANOMALY","Normal")</f>
        <v>⚠ ANOMALY</v>
      </c>
      <c r="F23" s="25" t="s">
        <v>166</v>
      </c>
      <c r="G23" s="25" t="s">
        <v>159</v>
      </c>
      <c r="H23" s="25" t="s">
        <v>164</v>
      </c>
      <c r="I23" s="25" t="s">
        <v>161</v>
      </c>
      <c r="J23" s="25" t="s">
        <v>162</v>
      </c>
    </row>
    <row r="24" customFormat="false" ht="15.75" hidden="false" customHeight="true" outlineLevel="0" collapsed="false">
      <c r="A24" s="26" t="s">
        <v>178</v>
      </c>
      <c r="B24" s="25" t="s">
        <v>176</v>
      </c>
      <c r="C24" s="25" t="n">
        <v>1</v>
      </c>
      <c r="D24" s="25" t="n">
        <v>-2.17</v>
      </c>
      <c r="E24" s="41" t="str">
        <f aca="false">IF(C24&lt;$B$10,"⚠ ANOMALY","Normal")</f>
        <v>⚠ ANOMALY</v>
      </c>
      <c r="F24" s="25" t="s">
        <v>172</v>
      </c>
      <c r="G24" s="25" t="s">
        <v>159</v>
      </c>
      <c r="H24" s="25" t="s">
        <v>164</v>
      </c>
      <c r="I24" s="25" t="s">
        <v>161</v>
      </c>
      <c r="J24" s="25" t="s">
        <v>162</v>
      </c>
    </row>
    <row r="25" customFormat="false" ht="15.75" hidden="false" customHeight="true" outlineLevel="0" collapsed="false">
      <c r="A25" s="26" t="s">
        <v>179</v>
      </c>
      <c r="B25" s="25" t="s">
        <v>176</v>
      </c>
      <c r="C25" s="25" t="n">
        <v>1</v>
      </c>
      <c r="D25" s="25" t="n">
        <v>-2.17</v>
      </c>
      <c r="E25" s="41" t="str">
        <f aca="false">IF(C25&lt;$B$10,"⚠ ANOMALY","Normal")</f>
        <v>⚠ ANOMALY</v>
      </c>
      <c r="F25" s="25" t="s">
        <v>158</v>
      </c>
      <c r="G25" s="25" t="s">
        <v>159</v>
      </c>
      <c r="H25" s="25" t="s">
        <v>164</v>
      </c>
      <c r="I25" s="25" t="s">
        <v>161</v>
      </c>
      <c r="J25" s="25" t="s">
        <v>162</v>
      </c>
    </row>
    <row r="26" customFormat="false" ht="15.75" hidden="false" customHeight="true" outlineLevel="0" collapsed="false">
      <c r="A26" s="26" t="s">
        <v>180</v>
      </c>
      <c r="B26" s="25" t="s">
        <v>176</v>
      </c>
      <c r="C26" s="25" t="n">
        <v>1</v>
      </c>
      <c r="D26" s="25" t="n">
        <v>-2.17</v>
      </c>
      <c r="E26" s="41" t="str">
        <f aca="false">IF(C26&lt;$B$10,"⚠ ANOMALY","Normal")</f>
        <v>⚠ ANOMALY</v>
      </c>
      <c r="F26" s="25" t="s">
        <v>158</v>
      </c>
      <c r="G26" s="25" t="s">
        <v>159</v>
      </c>
      <c r="H26" s="25" t="s">
        <v>164</v>
      </c>
      <c r="I26" s="25" t="s">
        <v>161</v>
      </c>
      <c r="J26" s="25" t="s">
        <v>162</v>
      </c>
    </row>
    <row r="27" customFormat="false" ht="15.75" hidden="false" customHeight="true" outlineLevel="0" collapsed="false">
      <c r="A27" s="26" t="s">
        <v>181</v>
      </c>
      <c r="B27" s="25" t="s">
        <v>182</v>
      </c>
      <c r="C27" s="25" t="n">
        <v>1</v>
      </c>
      <c r="D27" s="25" t="n">
        <v>-2.17</v>
      </c>
      <c r="E27" s="41" t="str">
        <f aca="false">IF(C27&lt;$B$10,"⚠ ANOMALY","Normal")</f>
        <v>⚠ ANOMALY</v>
      </c>
      <c r="F27" s="25" t="s">
        <v>166</v>
      </c>
      <c r="G27" s="25" t="s">
        <v>159</v>
      </c>
      <c r="H27" s="25" t="s">
        <v>164</v>
      </c>
      <c r="I27" s="25" t="s">
        <v>161</v>
      </c>
      <c r="J27" s="25" t="s">
        <v>162</v>
      </c>
    </row>
    <row r="28" customFormat="false" ht="15.75" hidden="false" customHeight="true" outlineLevel="0" collapsed="false">
      <c r="A28" s="26" t="s">
        <v>183</v>
      </c>
      <c r="B28" s="25" t="s">
        <v>182</v>
      </c>
      <c r="C28" s="25" t="n">
        <v>1</v>
      </c>
      <c r="D28" s="25" t="n">
        <v>-2.17</v>
      </c>
      <c r="E28" s="41" t="str">
        <f aca="false">IF(C28&lt;$B$10,"⚠ ANOMALY","Normal")</f>
        <v>⚠ ANOMALY</v>
      </c>
      <c r="F28" s="25" t="s">
        <v>172</v>
      </c>
      <c r="G28" s="25" t="s">
        <v>159</v>
      </c>
      <c r="H28" s="25" t="s">
        <v>164</v>
      </c>
      <c r="I28" s="25" t="s">
        <v>161</v>
      </c>
      <c r="J28" s="25" t="s">
        <v>162</v>
      </c>
    </row>
    <row r="29" customFormat="false" ht="15.75" hidden="false" customHeight="true" outlineLevel="0" collapsed="false">
      <c r="A29" s="26" t="s">
        <v>184</v>
      </c>
      <c r="B29" s="25" t="s">
        <v>182</v>
      </c>
      <c r="C29" s="25" t="n">
        <v>1</v>
      </c>
      <c r="D29" s="25" t="n">
        <v>-2.17</v>
      </c>
      <c r="E29" s="41" t="str">
        <f aca="false">IF(C29&lt;$B$10,"⚠ ANOMALY","Normal")</f>
        <v>⚠ ANOMALY</v>
      </c>
      <c r="F29" s="25" t="s">
        <v>166</v>
      </c>
      <c r="G29" s="25" t="s">
        <v>159</v>
      </c>
      <c r="H29" s="25" t="s">
        <v>164</v>
      </c>
      <c r="I29" s="25" t="s">
        <v>161</v>
      </c>
      <c r="J29" s="25" t="s">
        <v>162</v>
      </c>
    </row>
    <row r="30" customFormat="false" ht="15.75" hidden="false" customHeight="true" outlineLevel="0" collapsed="false">
      <c r="A30" s="26" t="s">
        <v>185</v>
      </c>
      <c r="B30" s="25" t="s">
        <v>182</v>
      </c>
      <c r="C30" s="25" t="n">
        <v>1</v>
      </c>
      <c r="D30" s="25" t="n">
        <v>-2.17</v>
      </c>
      <c r="E30" s="41" t="str">
        <f aca="false">IF(C30&lt;$B$10,"⚠ ANOMALY","Normal")</f>
        <v>⚠ ANOMALY</v>
      </c>
      <c r="F30" s="25" t="s">
        <v>158</v>
      </c>
      <c r="G30" s="25" t="s">
        <v>168</v>
      </c>
      <c r="H30" s="25" t="s">
        <v>160</v>
      </c>
      <c r="I30" s="25" t="s">
        <v>161</v>
      </c>
      <c r="J30" s="25" t="s">
        <v>162</v>
      </c>
    </row>
    <row r="31" customFormat="false" ht="15.75" hidden="false" customHeight="true" outlineLevel="0" collapsed="false">
      <c r="A31" s="26" t="s">
        <v>186</v>
      </c>
      <c r="B31" s="25" t="s">
        <v>187</v>
      </c>
      <c r="C31" s="25" t="n">
        <v>1</v>
      </c>
      <c r="D31" s="25" t="n">
        <v>-2.17</v>
      </c>
      <c r="E31" s="41" t="str">
        <f aca="false">IF(C31&lt;$B$10,"⚠ ANOMALY","Normal")</f>
        <v>⚠ ANOMALY</v>
      </c>
      <c r="F31" s="25" t="s">
        <v>172</v>
      </c>
      <c r="G31" s="25" t="s">
        <v>159</v>
      </c>
      <c r="H31" s="25" t="s">
        <v>164</v>
      </c>
      <c r="I31" s="25" t="s">
        <v>161</v>
      </c>
      <c r="J31" s="25" t="s">
        <v>162</v>
      </c>
    </row>
    <row r="32" customFormat="false" ht="15.75" hidden="false" customHeight="true" outlineLevel="0" collapsed="false">
      <c r="A32" s="26" t="s">
        <v>188</v>
      </c>
      <c r="B32" s="25" t="s">
        <v>187</v>
      </c>
      <c r="C32" s="25" t="n">
        <v>1</v>
      </c>
      <c r="D32" s="25" t="n">
        <v>-2.17</v>
      </c>
      <c r="E32" s="41" t="str">
        <f aca="false">IF(C32&lt;$B$10,"⚠ ANOMALY","Normal")</f>
        <v>⚠ ANOMALY</v>
      </c>
      <c r="F32" s="25" t="s">
        <v>158</v>
      </c>
      <c r="G32" s="25" t="s">
        <v>159</v>
      </c>
      <c r="H32" s="25" t="s">
        <v>164</v>
      </c>
      <c r="I32" s="25" t="s">
        <v>161</v>
      </c>
      <c r="J32" s="25" t="s">
        <v>162</v>
      </c>
    </row>
    <row r="33" customFormat="false" ht="15.75" hidden="false" customHeight="true" outlineLevel="0" collapsed="false">
      <c r="A33" s="26" t="s">
        <v>189</v>
      </c>
      <c r="B33" s="25" t="s">
        <v>187</v>
      </c>
      <c r="C33" s="25" t="n">
        <v>1</v>
      </c>
      <c r="D33" s="25" t="n">
        <v>-2.17</v>
      </c>
      <c r="E33" s="41" t="str">
        <f aca="false">IF(C33&lt;$B$10,"⚠ ANOMALY","Normal")</f>
        <v>⚠ ANOMALY</v>
      </c>
      <c r="F33" s="25" t="s">
        <v>158</v>
      </c>
      <c r="G33" s="25" t="s">
        <v>159</v>
      </c>
      <c r="H33" s="25" t="s">
        <v>164</v>
      </c>
      <c r="I33" s="25" t="s">
        <v>161</v>
      </c>
      <c r="J33" s="25" t="s">
        <v>162</v>
      </c>
    </row>
  </sheetData>
  <mergeCells count="3">
    <mergeCell ref="A1:J1"/>
    <mergeCell ref="A2:J4"/>
    <mergeCell ref="A5:B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42" t="s">
        <v>190</v>
      </c>
      <c r="B1" s="42"/>
      <c r="C1" s="42"/>
      <c r="D1" s="42"/>
      <c r="E1" s="42"/>
      <c r="F1" s="42"/>
      <c r="G1" s="42"/>
      <c r="H1" s="42"/>
    </row>
    <row r="2" customFormat="false" ht="27.75" hidden="false" customHeight="true" outlineLevel="0" collapsed="false">
      <c r="A2" s="19" t="s">
        <v>18</v>
      </c>
      <c r="B2" s="19" t="s">
        <v>20</v>
      </c>
      <c r="C2" s="19" t="s">
        <v>191</v>
      </c>
      <c r="D2" s="19" t="s">
        <v>192</v>
      </c>
      <c r="E2" s="19" t="s">
        <v>193</v>
      </c>
      <c r="F2" s="19" t="s">
        <v>194</v>
      </c>
      <c r="G2" s="19" t="s">
        <v>195</v>
      </c>
      <c r="H2" s="19" t="s">
        <v>196</v>
      </c>
    </row>
    <row r="3" customFormat="false" ht="15.75" hidden="false" customHeight="true" outlineLevel="0" collapsed="false">
      <c r="A3" s="43" t="s">
        <v>85</v>
      </c>
      <c r="B3" s="44" t="n">
        <v>98</v>
      </c>
      <c r="C3" s="44" t="n">
        <v>76</v>
      </c>
      <c r="D3" s="44" t="n">
        <v>22</v>
      </c>
      <c r="E3" s="45" t="n">
        <v>0.7755</v>
      </c>
      <c r="F3" s="44" t="s">
        <v>197</v>
      </c>
      <c r="G3" s="45" t="n">
        <f aca="false">C3/B3</f>
        <v>0.775510204081633</v>
      </c>
      <c r="H3" s="44" t="n">
        <f aca="false">C3*2+B3*0.5</f>
        <v>201</v>
      </c>
    </row>
    <row r="4" customFormat="false" ht="15.75" hidden="false" customHeight="true" outlineLevel="0" collapsed="false">
      <c r="A4" s="46" t="s">
        <v>100</v>
      </c>
      <c r="B4" s="47" t="n">
        <v>18</v>
      </c>
      <c r="C4" s="47" t="n">
        <v>10</v>
      </c>
      <c r="D4" s="47" t="n">
        <v>8</v>
      </c>
      <c r="E4" s="48" t="n">
        <v>0.5556</v>
      </c>
      <c r="F4" s="47" t="s">
        <v>198</v>
      </c>
      <c r="G4" s="48" t="n">
        <f aca="false">C4/B4</f>
        <v>0.555555555555556</v>
      </c>
      <c r="H4" s="47" t="n">
        <f aca="false">C4*2+B4*0.5</f>
        <v>29</v>
      </c>
    </row>
    <row r="5" customFormat="false" ht="15.75" hidden="false" customHeight="true" outlineLevel="0" collapsed="false">
      <c r="A5" s="46" t="s">
        <v>102</v>
      </c>
      <c r="B5" s="47" t="n">
        <v>76</v>
      </c>
      <c r="C5" s="47" t="n">
        <v>49</v>
      </c>
      <c r="D5" s="47" t="n">
        <v>27</v>
      </c>
      <c r="E5" s="48" t="n">
        <v>0.6447</v>
      </c>
      <c r="F5" s="47" t="s">
        <v>198</v>
      </c>
      <c r="G5" s="48" t="n">
        <f aca="false">C5/B5</f>
        <v>0.644736842105263</v>
      </c>
      <c r="H5" s="47" t="n">
        <f aca="false">C5*2+B5*0.5</f>
        <v>136</v>
      </c>
    </row>
    <row r="6" customFormat="false" ht="15.75" hidden="false" customHeight="true" outlineLevel="0" collapsed="false">
      <c r="A6" s="43" t="s">
        <v>103</v>
      </c>
      <c r="B6" s="44" t="n">
        <v>93</v>
      </c>
      <c r="C6" s="44" t="n">
        <v>68</v>
      </c>
      <c r="D6" s="44" t="n">
        <v>25</v>
      </c>
      <c r="E6" s="45" t="n">
        <v>0.7312</v>
      </c>
      <c r="F6" s="44" t="s">
        <v>197</v>
      </c>
      <c r="G6" s="45" t="n">
        <f aca="false">C6/B6</f>
        <v>0.731182795698925</v>
      </c>
      <c r="H6" s="44" t="n">
        <f aca="false">C6*2+B6*0.5</f>
        <v>182.5</v>
      </c>
    </row>
    <row r="7" customFormat="false" ht="15.75" hidden="false" customHeight="true" outlineLevel="0" collapsed="false">
      <c r="A7" s="46" t="s">
        <v>104</v>
      </c>
      <c r="B7" s="47" t="n">
        <v>369</v>
      </c>
      <c r="C7" s="47" t="n">
        <v>201</v>
      </c>
      <c r="D7" s="47" t="n">
        <v>168</v>
      </c>
      <c r="E7" s="48" t="n">
        <v>0.5447</v>
      </c>
      <c r="F7" s="47" t="s">
        <v>198</v>
      </c>
      <c r="G7" s="48" t="n">
        <f aca="false">C7/B7</f>
        <v>0.544715447154472</v>
      </c>
      <c r="H7" s="47" t="n">
        <f aca="false">C7*2+B7*0.5</f>
        <v>586.5</v>
      </c>
    </row>
    <row r="8" customFormat="false" ht="15.75" hidden="false" customHeight="true" outlineLevel="0" collapsed="false">
      <c r="A8" s="46" t="s">
        <v>46</v>
      </c>
      <c r="B8" s="47" t="n">
        <v>95</v>
      </c>
      <c r="C8" s="47" t="n">
        <v>44</v>
      </c>
      <c r="D8" s="47" t="n">
        <v>51</v>
      </c>
      <c r="E8" s="48" t="n">
        <v>0.4632</v>
      </c>
      <c r="F8" s="47" t="s">
        <v>198</v>
      </c>
      <c r="G8" s="48" t="n">
        <f aca="false">C8/B8</f>
        <v>0.463157894736842</v>
      </c>
      <c r="H8" s="47" t="n">
        <f aca="false">C8*2+B8*0.5</f>
        <v>135.5</v>
      </c>
    </row>
    <row r="9" customFormat="false" ht="15.75" hidden="false" customHeight="true" outlineLevel="0" collapsed="false">
      <c r="A9" s="46" t="s">
        <v>105</v>
      </c>
      <c r="B9" s="47" t="n">
        <v>35</v>
      </c>
      <c r="C9" s="47" t="n">
        <v>22</v>
      </c>
      <c r="D9" s="47" t="n">
        <v>13</v>
      </c>
      <c r="E9" s="48" t="n">
        <v>0.6286</v>
      </c>
      <c r="F9" s="47" t="s">
        <v>198</v>
      </c>
      <c r="G9" s="48" t="n">
        <f aca="false">C9/B9</f>
        <v>0.628571428571429</v>
      </c>
      <c r="H9" s="47" t="n">
        <f aca="false">C9*2+B9*0.5</f>
        <v>61.5</v>
      </c>
    </row>
    <row r="10" customFormat="false" ht="15.75" hidden="false" customHeight="true" outlineLevel="0" collapsed="false">
      <c r="A10" s="43" t="s">
        <v>106</v>
      </c>
      <c r="B10" s="44" t="n">
        <v>9</v>
      </c>
      <c r="C10" s="44" t="n">
        <v>6</v>
      </c>
      <c r="D10" s="44" t="n">
        <v>3</v>
      </c>
      <c r="E10" s="45" t="n">
        <v>0.6667</v>
      </c>
      <c r="F10" s="44" t="s">
        <v>197</v>
      </c>
      <c r="G10" s="45" t="n">
        <f aca="false">C10/B10</f>
        <v>0.666666666666667</v>
      </c>
      <c r="H10" s="44" t="n">
        <f aca="false">C10*2+B10*0.5</f>
        <v>16.5</v>
      </c>
    </row>
    <row r="11" customFormat="false" ht="15.75" hidden="false" customHeight="true" outlineLevel="0" collapsed="false">
      <c r="A11" s="26" t="s">
        <v>107</v>
      </c>
      <c r="B11" s="25" t="n">
        <v>8</v>
      </c>
      <c r="C11" s="25" t="n">
        <v>7</v>
      </c>
      <c r="D11" s="25" t="n">
        <v>1</v>
      </c>
      <c r="E11" s="49" t="n">
        <v>0.875</v>
      </c>
      <c r="F11" s="25" t="s">
        <v>161</v>
      </c>
      <c r="G11" s="49" t="n">
        <f aca="false">C11/B11</f>
        <v>0.875</v>
      </c>
      <c r="H11" s="25" t="n">
        <f aca="false">C11*2+B11*0.5</f>
        <v>18</v>
      </c>
    </row>
    <row r="12" customFormat="false" ht="15.75" hidden="false" customHeight="true" outlineLevel="0" collapsed="false">
      <c r="A12" s="46" t="s">
        <v>108</v>
      </c>
      <c r="B12" s="47" t="n">
        <v>215</v>
      </c>
      <c r="C12" s="47" t="n">
        <v>138</v>
      </c>
      <c r="D12" s="47" t="n">
        <v>77</v>
      </c>
      <c r="E12" s="48" t="n">
        <v>0.6419</v>
      </c>
      <c r="F12" s="47" t="s">
        <v>198</v>
      </c>
      <c r="G12" s="48" t="n">
        <f aca="false">C12/B12</f>
        <v>0.641860465116279</v>
      </c>
      <c r="H12" s="47" t="n">
        <f aca="false">C12*2+B12*0.5</f>
        <v>383.5</v>
      </c>
    </row>
    <row r="13" customFormat="false" ht="15.75" hidden="false" customHeight="true" outlineLevel="0" collapsed="false">
      <c r="A13" s="43" t="s">
        <v>109</v>
      </c>
      <c r="B13" s="44" t="n">
        <v>152</v>
      </c>
      <c r="C13" s="44" t="n">
        <v>109</v>
      </c>
      <c r="D13" s="44" t="n">
        <v>43</v>
      </c>
      <c r="E13" s="45" t="n">
        <v>0.7171</v>
      </c>
      <c r="F13" s="44" t="s">
        <v>197</v>
      </c>
      <c r="G13" s="45" t="n">
        <f aca="false">C13/B13</f>
        <v>0.717105263157895</v>
      </c>
      <c r="H13" s="44" t="n">
        <f aca="false">C13*2+B13*0.5</f>
        <v>294</v>
      </c>
    </row>
    <row r="14" customFormat="false" ht="15.75" hidden="false" customHeight="true" outlineLevel="0" collapsed="false">
      <c r="A14" s="46" t="s">
        <v>110</v>
      </c>
      <c r="B14" s="47" t="n">
        <v>23</v>
      </c>
      <c r="C14" s="47" t="n">
        <v>12</v>
      </c>
      <c r="D14" s="47" t="n">
        <v>11</v>
      </c>
      <c r="E14" s="48" t="n">
        <v>0.5217</v>
      </c>
      <c r="F14" s="47" t="s">
        <v>198</v>
      </c>
      <c r="G14" s="48" t="n">
        <f aca="false">C14/B14</f>
        <v>0.521739130434783</v>
      </c>
      <c r="H14" s="47" t="n">
        <f aca="false">C14*2+B14*0.5</f>
        <v>35.5</v>
      </c>
    </row>
    <row r="15" customFormat="false" ht="15.75" hidden="false" customHeight="true" outlineLevel="0" collapsed="false">
      <c r="A15" s="46" t="s">
        <v>54</v>
      </c>
      <c r="B15" s="47" t="n">
        <v>58</v>
      </c>
      <c r="C15" s="47" t="n">
        <v>27</v>
      </c>
      <c r="D15" s="47" t="n">
        <v>31</v>
      </c>
      <c r="E15" s="48" t="n">
        <v>0.4655</v>
      </c>
      <c r="F15" s="47" t="s">
        <v>198</v>
      </c>
      <c r="G15" s="48" t="n">
        <f aca="false">C15/B15</f>
        <v>0.46551724137931</v>
      </c>
      <c r="H15" s="47" t="n">
        <f aca="false">C15*2+B15*0.5</f>
        <v>83</v>
      </c>
    </row>
    <row r="16" customFormat="false" ht="15.75" hidden="false" customHeight="true" outlineLevel="0" collapsed="false">
      <c r="A16" s="46" t="s">
        <v>111</v>
      </c>
      <c r="B16" s="47" t="n">
        <v>188</v>
      </c>
      <c r="C16" s="47" t="n">
        <v>99</v>
      </c>
      <c r="D16" s="47" t="n">
        <v>89</v>
      </c>
      <c r="E16" s="48" t="n">
        <v>0.5266</v>
      </c>
      <c r="F16" s="47" t="s">
        <v>198</v>
      </c>
      <c r="G16" s="48" t="n">
        <f aca="false">C16/B16</f>
        <v>0.526595744680851</v>
      </c>
      <c r="H16" s="47" t="n">
        <f aca="false">C16*2+B16*0.5</f>
        <v>292</v>
      </c>
    </row>
    <row r="17" customFormat="false" ht="15.75" hidden="false" customHeight="true" outlineLevel="0" collapsed="false">
      <c r="A17" s="46" t="s">
        <v>112</v>
      </c>
      <c r="B17" s="47" t="n">
        <v>130</v>
      </c>
      <c r="C17" s="47" t="n">
        <v>71</v>
      </c>
      <c r="D17" s="47" t="n">
        <v>59</v>
      </c>
      <c r="E17" s="48" t="n">
        <v>0.5462</v>
      </c>
      <c r="F17" s="47" t="s">
        <v>198</v>
      </c>
      <c r="G17" s="48" t="n">
        <f aca="false">C17/B17</f>
        <v>0.546153846153846</v>
      </c>
      <c r="H17" s="47" t="n">
        <f aca="false">C17*2+B17*0.5</f>
        <v>207</v>
      </c>
    </row>
    <row r="18" customFormat="false" ht="15.75" hidden="false" customHeight="true" outlineLevel="0" collapsed="false">
      <c r="A18" s="21" t="s">
        <v>59</v>
      </c>
      <c r="B18" s="20" t="n">
        <v>118</v>
      </c>
      <c r="C18" s="20" t="n">
        <v>52</v>
      </c>
      <c r="D18" s="20" t="n">
        <v>66</v>
      </c>
      <c r="E18" s="50" t="n">
        <v>0.4407</v>
      </c>
      <c r="F18" s="20" t="s">
        <v>199</v>
      </c>
      <c r="G18" s="50" t="n">
        <f aca="false">C18/B18</f>
        <v>0.440677966101695</v>
      </c>
      <c r="H18" s="20" t="n">
        <f aca="false">C18*2+B18*0.5</f>
        <v>163</v>
      </c>
    </row>
    <row r="19" customFormat="false" ht="15.75" hidden="false" customHeight="true" outlineLevel="0" collapsed="false">
      <c r="A19" s="21" t="s">
        <v>113</v>
      </c>
      <c r="B19" s="20" t="n">
        <v>130</v>
      </c>
      <c r="C19" s="20" t="n">
        <v>58</v>
      </c>
      <c r="D19" s="20" t="n">
        <v>72</v>
      </c>
      <c r="E19" s="50" t="n">
        <v>0.4462</v>
      </c>
      <c r="F19" s="20" t="s">
        <v>199</v>
      </c>
      <c r="G19" s="50" t="n">
        <f aca="false">C19/B19</f>
        <v>0.446153846153846</v>
      </c>
      <c r="H19" s="20" t="n">
        <f aca="false">C19*2+B19*0.5</f>
        <v>181</v>
      </c>
    </row>
    <row r="20" customFormat="false" ht="15.75" hidden="false" customHeight="true" outlineLevel="0" collapsed="false">
      <c r="A20" s="43" t="s">
        <v>114</v>
      </c>
      <c r="B20" s="44" t="n">
        <v>106</v>
      </c>
      <c r="C20" s="44" t="n">
        <v>79</v>
      </c>
      <c r="D20" s="44" t="n">
        <v>27</v>
      </c>
      <c r="E20" s="45" t="n">
        <v>0.7453</v>
      </c>
      <c r="F20" s="44" t="s">
        <v>197</v>
      </c>
      <c r="G20" s="45" t="n">
        <f aca="false">C20/B20</f>
        <v>0.745283018867925</v>
      </c>
      <c r="H20" s="44" t="n">
        <f aca="false">C20*2+B20*0.5</f>
        <v>211</v>
      </c>
    </row>
    <row r="21" customFormat="false" ht="15.75" hidden="false" customHeight="true" outlineLevel="0" collapsed="false">
      <c r="A21" s="43" t="s">
        <v>77</v>
      </c>
      <c r="B21" s="44" t="n">
        <v>114</v>
      </c>
      <c r="C21" s="44" t="n">
        <v>92</v>
      </c>
      <c r="D21" s="44" t="n">
        <v>22</v>
      </c>
      <c r="E21" s="45" t="n">
        <v>0.807</v>
      </c>
      <c r="F21" s="44" t="s">
        <v>197</v>
      </c>
      <c r="G21" s="45" t="n">
        <f aca="false">C21/B21</f>
        <v>0.807017543859649</v>
      </c>
      <c r="H21" s="44" t="n">
        <f aca="false">C21*2+B21*0.5</f>
        <v>241</v>
      </c>
    </row>
    <row r="22" customFormat="false" ht="15.75" hidden="false" customHeight="true" outlineLevel="0" collapsed="false">
      <c r="A22" s="46" t="s">
        <v>115</v>
      </c>
      <c r="B22" s="47" t="n">
        <v>37</v>
      </c>
      <c r="C22" s="47" t="n">
        <v>19</v>
      </c>
      <c r="D22" s="47" t="n">
        <v>18</v>
      </c>
      <c r="E22" s="48" t="n">
        <v>0.5135</v>
      </c>
      <c r="F22" s="47" t="s">
        <v>198</v>
      </c>
      <c r="G22" s="48" t="n">
        <f aca="false">C22/B22</f>
        <v>0.513513513513514</v>
      </c>
      <c r="H22" s="47" t="n">
        <f aca="false">C22*2+B22*0.5</f>
        <v>56.5</v>
      </c>
    </row>
    <row r="23" customFormat="false" ht="15.75" hidden="false" customHeight="true" outlineLevel="0" collapsed="false">
      <c r="A23" s="43" t="s">
        <v>116</v>
      </c>
      <c r="B23" s="44" t="n">
        <v>53</v>
      </c>
      <c r="C23" s="44" t="n">
        <v>37</v>
      </c>
      <c r="D23" s="44" t="n">
        <v>16</v>
      </c>
      <c r="E23" s="45" t="n">
        <v>0.6981</v>
      </c>
      <c r="F23" s="44" t="s">
        <v>197</v>
      </c>
      <c r="G23" s="45" t="n">
        <f aca="false">C23/B23</f>
        <v>0.69811320754717</v>
      </c>
      <c r="H23" s="44" t="n">
        <f aca="false">C23*2+B23*0.5</f>
        <v>100.5</v>
      </c>
    </row>
    <row r="24" customFormat="false" ht="15.75" hidden="false" customHeight="true" outlineLevel="0" collapsed="false">
      <c r="A24" s="46" t="s">
        <v>117</v>
      </c>
      <c r="B24" s="47" t="n">
        <v>75</v>
      </c>
      <c r="C24" s="47" t="n">
        <v>41</v>
      </c>
      <c r="D24" s="47" t="n">
        <v>34</v>
      </c>
      <c r="E24" s="48" t="n">
        <v>0.5467</v>
      </c>
      <c r="F24" s="47" t="s">
        <v>198</v>
      </c>
      <c r="G24" s="48" t="n">
        <f aca="false">C24/B24</f>
        <v>0.546666666666667</v>
      </c>
      <c r="H24" s="47" t="n">
        <f aca="false">C24*2+B24*0.5</f>
        <v>119.5</v>
      </c>
    </row>
    <row r="25" customFormat="false" ht="15.75" hidden="false" customHeight="true" outlineLevel="0" collapsed="false">
      <c r="A25" s="46" t="s">
        <v>118</v>
      </c>
      <c r="B25" s="47" t="n">
        <v>148</v>
      </c>
      <c r="C25" s="47" t="n">
        <v>88</v>
      </c>
      <c r="D25" s="47" t="n">
        <v>60</v>
      </c>
      <c r="E25" s="48" t="n">
        <v>0.5946</v>
      </c>
      <c r="F25" s="47" t="s">
        <v>198</v>
      </c>
      <c r="G25" s="48" t="n">
        <f aca="false">C25/B25</f>
        <v>0.594594594594595</v>
      </c>
      <c r="H25" s="47" t="n">
        <f aca="false">C25*2+B25*0.5</f>
        <v>250</v>
      </c>
    </row>
    <row r="26" customFormat="false" ht="15.75" hidden="false" customHeight="true" outlineLevel="0" collapsed="false">
      <c r="A26" s="21" t="s">
        <v>50</v>
      </c>
      <c r="B26" s="20" t="n">
        <v>131</v>
      </c>
      <c r="C26" s="20" t="n">
        <v>58</v>
      </c>
      <c r="D26" s="20" t="n">
        <v>73</v>
      </c>
      <c r="E26" s="50" t="n">
        <v>0.4427</v>
      </c>
      <c r="F26" s="20" t="s">
        <v>199</v>
      </c>
      <c r="G26" s="50" t="n">
        <f aca="false">C26/B26</f>
        <v>0.442748091603053</v>
      </c>
      <c r="H26" s="20" t="n">
        <f aca="false">C26*2+B26*0.5</f>
        <v>181.5</v>
      </c>
    </row>
    <row r="27" customFormat="false" ht="15.75" hidden="false" customHeight="true" outlineLevel="0" collapsed="false">
      <c r="A27" s="43" t="s">
        <v>89</v>
      </c>
      <c r="B27" s="44" t="n">
        <v>97</v>
      </c>
      <c r="C27" s="44" t="n">
        <v>74</v>
      </c>
      <c r="D27" s="44" t="n">
        <v>23</v>
      </c>
      <c r="E27" s="45" t="n">
        <v>0.7629</v>
      </c>
      <c r="F27" s="44" t="s">
        <v>197</v>
      </c>
      <c r="G27" s="45" t="n">
        <f aca="false">C27/B27</f>
        <v>0.762886597938144</v>
      </c>
      <c r="H27" s="44" t="n">
        <f aca="false">C27*2+B27*0.5</f>
        <v>196.5</v>
      </c>
    </row>
    <row r="28" customFormat="false" ht="15.75" hidden="false" customHeight="true" outlineLevel="0" collapsed="false">
      <c r="A28" s="46" t="s">
        <v>119</v>
      </c>
      <c r="B28" s="47" t="n">
        <v>115</v>
      </c>
      <c r="C28" s="47" t="n">
        <v>72</v>
      </c>
      <c r="D28" s="47" t="n">
        <v>43</v>
      </c>
      <c r="E28" s="48" t="n">
        <v>0.6261</v>
      </c>
      <c r="F28" s="47" t="s">
        <v>198</v>
      </c>
      <c r="G28" s="48" t="n">
        <f aca="false">C28/B28</f>
        <v>0.626086956521739</v>
      </c>
      <c r="H28" s="47" t="n">
        <f aca="false">C28*2+B28*0.5</f>
        <v>201.5</v>
      </c>
    </row>
    <row r="29" customFormat="false" ht="15.75" hidden="false" customHeight="true" outlineLevel="0" collapsed="false">
      <c r="A29" s="46" t="s">
        <v>63</v>
      </c>
      <c r="B29" s="47" t="n">
        <v>54</v>
      </c>
      <c r="C29" s="47" t="n">
        <v>27</v>
      </c>
      <c r="D29" s="47" t="n">
        <v>27</v>
      </c>
      <c r="E29" s="48" t="n">
        <v>0.5</v>
      </c>
      <c r="F29" s="47" t="s">
        <v>198</v>
      </c>
      <c r="G29" s="48" t="n">
        <f aca="false">C29/B29</f>
        <v>0.5</v>
      </c>
      <c r="H29" s="47" t="n">
        <f aca="false">C29*2+B29*0.5</f>
        <v>81</v>
      </c>
    </row>
    <row r="30" customFormat="false" ht="15.75" hidden="false" customHeight="true" outlineLevel="0" collapsed="false">
      <c r="A30" s="21" t="s">
        <v>42</v>
      </c>
      <c r="B30" s="20" t="n">
        <v>89</v>
      </c>
      <c r="C30" s="20" t="n">
        <v>39</v>
      </c>
      <c r="D30" s="20" t="n">
        <v>50</v>
      </c>
      <c r="E30" s="50" t="n">
        <v>0.4382</v>
      </c>
      <c r="F30" s="20" t="s">
        <v>199</v>
      </c>
      <c r="G30" s="50" t="n">
        <f aca="false">C30/B30</f>
        <v>0.438202247191011</v>
      </c>
      <c r="H30" s="20" t="n">
        <f aca="false">C30*2+B30*0.5</f>
        <v>122.5</v>
      </c>
    </row>
    <row r="31" customFormat="false" ht="15.75" hidden="false" customHeight="true" outlineLevel="0" collapsed="false">
      <c r="A31" s="43" t="s">
        <v>120</v>
      </c>
      <c r="B31" s="44" t="n">
        <v>47</v>
      </c>
      <c r="C31" s="44" t="n">
        <v>34</v>
      </c>
      <c r="D31" s="44" t="n">
        <v>13</v>
      </c>
      <c r="E31" s="45" t="n">
        <v>0.7234</v>
      </c>
      <c r="F31" s="44" t="s">
        <v>197</v>
      </c>
      <c r="G31" s="45" t="n">
        <f aca="false">C31/B31</f>
        <v>0.723404255319149</v>
      </c>
      <c r="H31" s="44" t="n">
        <f aca="false">C31*2+B31*0.5</f>
        <v>91.5</v>
      </c>
    </row>
    <row r="32" customFormat="false" ht="15.75" hidden="false" customHeight="true" outlineLevel="0" collapsed="false">
      <c r="A32" s="46" t="s">
        <v>121</v>
      </c>
      <c r="B32" s="47" t="n">
        <v>28</v>
      </c>
      <c r="C32" s="47" t="n">
        <v>14</v>
      </c>
      <c r="D32" s="47" t="n">
        <v>14</v>
      </c>
      <c r="E32" s="48" t="n">
        <v>0.5</v>
      </c>
      <c r="F32" s="47" t="s">
        <v>198</v>
      </c>
      <c r="G32" s="48" t="n">
        <f aca="false">C32/B32</f>
        <v>0.5</v>
      </c>
      <c r="H32" s="47" t="n">
        <f aca="false">C32*2+B32*0.5</f>
        <v>42</v>
      </c>
    </row>
    <row r="33" customFormat="false" ht="15.75" hidden="false" customHeight="true" outlineLevel="0" collapsed="false">
      <c r="A33" s="26" t="s">
        <v>71</v>
      </c>
      <c r="B33" s="25" t="n">
        <v>72</v>
      </c>
      <c r="C33" s="25" t="n">
        <v>64</v>
      </c>
      <c r="D33" s="25" t="n">
        <v>8</v>
      </c>
      <c r="E33" s="49" t="n">
        <v>0.8889</v>
      </c>
      <c r="F33" s="25" t="s">
        <v>161</v>
      </c>
      <c r="G33" s="49" t="n">
        <f aca="false">C33/B33</f>
        <v>0.888888888888889</v>
      </c>
      <c r="H33" s="25" t="n">
        <f aca="false">C33*2+B33*0.5</f>
        <v>164</v>
      </c>
    </row>
    <row r="34" customFormat="false" ht="15.75" hidden="false" customHeight="true" outlineLevel="0" collapsed="false">
      <c r="A34" s="43" t="s">
        <v>122</v>
      </c>
      <c r="B34" s="44" t="n">
        <v>43</v>
      </c>
      <c r="C34" s="44" t="n">
        <v>29</v>
      </c>
      <c r="D34" s="44" t="n">
        <v>14</v>
      </c>
      <c r="E34" s="45" t="n">
        <v>0.6744</v>
      </c>
      <c r="F34" s="44" t="s">
        <v>197</v>
      </c>
      <c r="G34" s="45" t="n">
        <f aca="false">C34/B34</f>
        <v>0.674418604651163</v>
      </c>
      <c r="H34" s="44" t="n">
        <f aca="false">C34*2+B34*0.5</f>
        <v>79.5</v>
      </c>
    </row>
    <row r="35" customFormat="false" ht="15.75" hidden="false" customHeight="true" outlineLevel="0" collapsed="false">
      <c r="A35" s="43" t="s">
        <v>123</v>
      </c>
      <c r="B35" s="44" t="n">
        <v>185</v>
      </c>
      <c r="C35" s="44" t="n">
        <v>124</v>
      </c>
      <c r="D35" s="44" t="n">
        <v>61</v>
      </c>
      <c r="E35" s="45" t="n">
        <v>0.6703</v>
      </c>
      <c r="F35" s="44" t="s">
        <v>197</v>
      </c>
      <c r="G35" s="45" t="n">
        <f aca="false">C35/B35</f>
        <v>0.67027027027027</v>
      </c>
      <c r="H35" s="44" t="n">
        <f aca="false">C35*2+B35*0.5</f>
        <v>340.5</v>
      </c>
    </row>
    <row r="36" customFormat="false" ht="15.75" hidden="false" customHeight="true" outlineLevel="0" collapsed="false">
      <c r="A36" s="46" t="s">
        <v>124</v>
      </c>
      <c r="B36" s="47" t="n">
        <v>117</v>
      </c>
      <c r="C36" s="47" t="n">
        <v>71</v>
      </c>
      <c r="D36" s="47" t="n">
        <v>46</v>
      </c>
      <c r="E36" s="48" t="n">
        <v>0.6068</v>
      </c>
      <c r="F36" s="47" t="s">
        <v>198</v>
      </c>
      <c r="G36" s="48" t="n">
        <f aca="false">C36/B36</f>
        <v>0.606837606837607</v>
      </c>
      <c r="H36" s="47" t="n">
        <f aca="false">C36*2+B36*0.5</f>
        <v>200.5</v>
      </c>
    </row>
    <row r="37" customFormat="false" ht="15.75" hidden="false" customHeight="true" outlineLevel="0" collapsed="false">
      <c r="A37" s="46" t="s">
        <v>125</v>
      </c>
      <c r="B37" s="47" t="n">
        <v>42</v>
      </c>
      <c r="C37" s="47" t="n">
        <v>19</v>
      </c>
      <c r="D37" s="47" t="n">
        <v>23</v>
      </c>
      <c r="E37" s="48" t="n">
        <v>0.4524</v>
      </c>
      <c r="F37" s="47" t="s">
        <v>198</v>
      </c>
      <c r="G37" s="48" t="n">
        <f aca="false">C37/B37</f>
        <v>0.452380952380952</v>
      </c>
      <c r="H37" s="47" t="n">
        <f aca="false">C37*2+B37*0.5</f>
        <v>59</v>
      </c>
    </row>
    <row r="38" customFormat="false" ht="15.75" hidden="false" customHeight="true" outlineLevel="0" collapsed="false">
      <c r="A38" s="46" t="s">
        <v>126</v>
      </c>
      <c r="B38" s="47" t="n">
        <v>172</v>
      </c>
      <c r="C38" s="47" t="n">
        <v>102</v>
      </c>
      <c r="D38" s="47" t="n">
        <v>70</v>
      </c>
      <c r="E38" s="48" t="n">
        <v>0.593</v>
      </c>
      <c r="F38" s="47" t="s">
        <v>198</v>
      </c>
      <c r="G38" s="48" t="n">
        <f aca="false">C38/B38</f>
        <v>0.593023255813954</v>
      </c>
      <c r="H38" s="47" t="n">
        <f aca="false">C38*2+B38*0.5</f>
        <v>290</v>
      </c>
    </row>
    <row r="39" customFormat="false" ht="15.75" hidden="false" customHeight="true" outlineLevel="0" collapsed="false">
      <c r="A39" s="46" t="s">
        <v>127</v>
      </c>
      <c r="B39" s="47" t="n">
        <v>109</v>
      </c>
      <c r="C39" s="47" t="n">
        <v>67</v>
      </c>
      <c r="D39" s="47" t="n">
        <v>42</v>
      </c>
      <c r="E39" s="48" t="n">
        <v>0.6147</v>
      </c>
      <c r="F39" s="47" t="s">
        <v>198</v>
      </c>
      <c r="G39" s="48" t="n">
        <f aca="false">C39/B39</f>
        <v>0.614678899082569</v>
      </c>
      <c r="H39" s="47" t="n">
        <f aca="false">C39*2+B39*0.5</f>
        <v>188.5</v>
      </c>
    </row>
    <row r="40" customFormat="false" ht="15.75" hidden="false" customHeight="true" outlineLevel="0" collapsed="false">
      <c r="A40" s="46" t="s">
        <v>67</v>
      </c>
      <c r="B40" s="47" t="n">
        <v>63</v>
      </c>
      <c r="C40" s="47" t="n">
        <v>31</v>
      </c>
      <c r="D40" s="47" t="n">
        <v>32</v>
      </c>
      <c r="E40" s="48" t="n">
        <v>0.4921</v>
      </c>
      <c r="F40" s="47" t="s">
        <v>198</v>
      </c>
      <c r="G40" s="48" t="n">
        <f aca="false">C40/B40</f>
        <v>0.492063492063492</v>
      </c>
      <c r="H40" s="47" t="n">
        <f aca="false">C40*2+B40*0.5</f>
        <v>93.5</v>
      </c>
    </row>
    <row r="41" customFormat="false" ht="15.75" hidden="false" customHeight="true" outlineLevel="0" collapsed="false">
      <c r="A41" s="46" t="s">
        <v>128</v>
      </c>
      <c r="B41" s="47" t="n">
        <v>175</v>
      </c>
      <c r="C41" s="47" t="n">
        <v>107</v>
      </c>
      <c r="D41" s="47" t="n">
        <v>68</v>
      </c>
      <c r="E41" s="48" t="n">
        <v>0.6114</v>
      </c>
      <c r="F41" s="47" t="s">
        <v>198</v>
      </c>
      <c r="G41" s="48" t="n">
        <f aca="false">C41/B41</f>
        <v>0.611428571428571</v>
      </c>
      <c r="H41" s="47" t="n">
        <f aca="false">C41*2+B41*0.5</f>
        <v>301.5</v>
      </c>
    </row>
    <row r="42" customFormat="false" ht="15.75" hidden="false" customHeight="true" outlineLevel="0" collapsed="false">
      <c r="A42" s="46" t="s">
        <v>129</v>
      </c>
      <c r="B42" s="47" t="n">
        <v>11</v>
      </c>
      <c r="C42" s="47" t="n">
        <v>7</v>
      </c>
      <c r="D42" s="47" t="n">
        <v>4</v>
      </c>
      <c r="E42" s="48" t="n">
        <v>0.6364</v>
      </c>
      <c r="F42" s="47" t="s">
        <v>198</v>
      </c>
      <c r="G42" s="48" t="n">
        <f aca="false">C42/B42</f>
        <v>0.636363636363636</v>
      </c>
      <c r="H42" s="47" t="n">
        <f aca="false">C42*2+B42*0.5</f>
        <v>19.5</v>
      </c>
    </row>
    <row r="43" customFormat="false" ht="15.75" hidden="false" customHeight="true" outlineLevel="0" collapsed="false">
      <c r="A43" s="43" t="s">
        <v>130</v>
      </c>
      <c r="B43" s="44" t="n">
        <v>68</v>
      </c>
      <c r="C43" s="44" t="n">
        <v>47</v>
      </c>
      <c r="D43" s="44" t="n">
        <v>21</v>
      </c>
      <c r="E43" s="45" t="n">
        <v>0.6912</v>
      </c>
      <c r="F43" s="44" t="s">
        <v>197</v>
      </c>
      <c r="G43" s="45" t="n">
        <f aca="false">C43/B43</f>
        <v>0.691176470588235</v>
      </c>
      <c r="H43" s="44" t="n">
        <f aca="false">C43*2+B43*0.5</f>
        <v>128</v>
      </c>
    </row>
    <row r="44" customFormat="false" ht="15.75" hidden="false" customHeight="true" outlineLevel="0" collapsed="false">
      <c r="A44" s="21" t="s">
        <v>34</v>
      </c>
      <c r="B44" s="20" t="n">
        <v>50</v>
      </c>
      <c r="C44" s="20" t="n">
        <v>19</v>
      </c>
      <c r="D44" s="20" t="n">
        <v>31</v>
      </c>
      <c r="E44" s="50" t="n">
        <v>0.38</v>
      </c>
      <c r="F44" s="20" t="s">
        <v>199</v>
      </c>
      <c r="G44" s="50" t="n">
        <f aca="false">C44/B44</f>
        <v>0.38</v>
      </c>
      <c r="H44" s="20" t="n">
        <f aca="false">C44*2+B44*0.5</f>
        <v>63</v>
      </c>
    </row>
    <row r="45" customFormat="false" ht="15.75" hidden="false" customHeight="true" outlineLevel="0" collapsed="false">
      <c r="A45" s="43" t="s">
        <v>131</v>
      </c>
      <c r="B45" s="44" t="n">
        <v>125</v>
      </c>
      <c r="C45" s="44" t="n">
        <v>91</v>
      </c>
      <c r="D45" s="44" t="n">
        <v>34</v>
      </c>
      <c r="E45" s="45" t="n">
        <v>0.728</v>
      </c>
      <c r="F45" s="44" t="s">
        <v>197</v>
      </c>
      <c r="G45" s="45" t="n">
        <f aca="false">C45/B45</f>
        <v>0.728</v>
      </c>
      <c r="H45" s="44" t="n">
        <f aca="false">C45*2+B45*0.5</f>
        <v>244.5</v>
      </c>
    </row>
    <row r="46" customFormat="false" ht="15.75" hidden="false" customHeight="true" outlineLevel="0" collapsed="false">
      <c r="A46" s="43" t="s">
        <v>132</v>
      </c>
      <c r="B46" s="44" t="n">
        <v>424</v>
      </c>
      <c r="C46" s="44" t="n">
        <v>281</v>
      </c>
      <c r="D46" s="44" t="n">
        <v>143</v>
      </c>
      <c r="E46" s="45" t="n">
        <v>0.6627</v>
      </c>
      <c r="F46" s="44" t="s">
        <v>197</v>
      </c>
      <c r="G46" s="45" t="n">
        <f aca="false">C46/B46</f>
        <v>0.662735849056604</v>
      </c>
      <c r="H46" s="44" t="n">
        <f aca="false">C46*2+B46*0.5</f>
        <v>774</v>
      </c>
    </row>
    <row r="47" customFormat="false" ht="15.75" hidden="false" customHeight="true" outlineLevel="0" collapsed="false">
      <c r="A47" s="21" t="s">
        <v>9</v>
      </c>
      <c r="B47" s="20" t="n">
        <v>46</v>
      </c>
      <c r="C47" s="20" t="n">
        <v>4</v>
      </c>
      <c r="D47" s="20" t="n">
        <v>42</v>
      </c>
      <c r="E47" s="50" t="n">
        <v>0.087</v>
      </c>
      <c r="F47" s="20" t="s">
        <v>199</v>
      </c>
      <c r="G47" s="50" t="n">
        <f aca="false">C47/B47</f>
        <v>0.0869565217391304</v>
      </c>
      <c r="H47" s="20" t="n">
        <f aca="false">C47*2+B47*0.5</f>
        <v>31</v>
      </c>
    </row>
    <row r="48" customFormat="false" ht="15.75" hidden="false" customHeight="true" outlineLevel="0" collapsed="false">
      <c r="A48" s="46" t="s">
        <v>133</v>
      </c>
      <c r="B48" s="47" t="n">
        <v>15</v>
      </c>
      <c r="C48" s="47" t="n">
        <v>7</v>
      </c>
      <c r="D48" s="47" t="n">
        <v>8</v>
      </c>
      <c r="E48" s="48" t="n">
        <v>0.4667</v>
      </c>
      <c r="F48" s="47" t="s">
        <v>198</v>
      </c>
      <c r="G48" s="48" t="n">
        <f aca="false">C48/B48</f>
        <v>0.466666666666667</v>
      </c>
      <c r="H48" s="47" t="n">
        <f aca="false">C48*2+B48*0.5</f>
        <v>21.5</v>
      </c>
    </row>
    <row r="49" customFormat="false" ht="15.75" hidden="false" customHeight="true" outlineLevel="0" collapsed="false">
      <c r="A49" s="46" t="s">
        <v>134</v>
      </c>
      <c r="B49" s="47" t="n">
        <v>101</v>
      </c>
      <c r="C49" s="47" t="n">
        <v>62</v>
      </c>
      <c r="D49" s="47" t="n">
        <v>39</v>
      </c>
      <c r="E49" s="48" t="n">
        <v>0.6139</v>
      </c>
      <c r="F49" s="47" t="s">
        <v>198</v>
      </c>
      <c r="G49" s="48" t="n">
        <f aca="false">C49/B49</f>
        <v>0.613861386138614</v>
      </c>
      <c r="H49" s="47" t="n">
        <f aca="false">C49*2+B49*0.5</f>
        <v>174.5</v>
      </c>
    </row>
    <row r="50" customFormat="false" ht="15.75" hidden="false" customHeight="true" outlineLevel="0" collapsed="false">
      <c r="A50" s="46" t="s">
        <v>135</v>
      </c>
      <c r="B50" s="47" t="n">
        <v>99</v>
      </c>
      <c r="C50" s="47" t="n">
        <v>51</v>
      </c>
      <c r="D50" s="47" t="n">
        <v>48</v>
      </c>
      <c r="E50" s="48" t="n">
        <v>0.5152</v>
      </c>
      <c r="F50" s="47" t="s">
        <v>198</v>
      </c>
      <c r="G50" s="48" t="n">
        <f aca="false">C50/B50</f>
        <v>0.515151515151515</v>
      </c>
      <c r="H50" s="47" t="n">
        <f aca="false">C50*2+B50*0.5</f>
        <v>151.5</v>
      </c>
    </row>
    <row r="51" customFormat="false" ht="15.75" hidden="false" customHeight="true" outlineLevel="0" collapsed="false">
      <c r="A51" s="43" t="s">
        <v>136</v>
      </c>
      <c r="B51" s="44" t="n">
        <v>57</v>
      </c>
      <c r="C51" s="44" t="n">
        <v>43</v>
      </c>
      <c r="D51" s="44" t="n">
        <v>14</v>
      </c>
      <c r="E51" s="45" t="n">
        <v>0.7544</v>
      </c>
      <c r="F51" s="44" t="s">
        <v>197</v>
      </c>
      <c r="G51" s="45" t="n">
        <f aca="false">C51/B51</f>
        <v>0.754385964912281</v>
      </c>
      <c r="H51" s="44" t="n">
        <f aca="false">C51*2+B51*0.5</f>
        <v>114.5</v>
      </c>
    </row>
    <row r="52" customFormat="false" ht="15.75" hidden="false" customHeight="true" outlineLevel="0" collapsed="false">
      <c r="A52" s="21" t="s">
        <v>38</v>
      </c>
      <c r="B52" s="20" t="n">
        <v>124</v>
      </c>
      <c r="C52" s="20" t="n">
        <v>49</v>
      </c>
      <c r="D52" s="20" t="n">
        <v>75</v>
      </c>
      <c r="E52" s="50" t="n">
        <v>0.3952</v>
      </c>
      <c r="F52" s="20" t="s">
        <v>199</v>
      </c>
      <c r="G52" s="50" t="n">
        <f aca="false">C52/B52</f>
        <v>0.395161290322581</v>
      </c>
      <c r="H52" s="20" t="n">
        <f aca="false">C52*2+B52*0.5</f>
        <v>160</v>
      </c>
    </row>
    <row r="53" customFormat="false" ht="15.75" hidden="false" customHeight="true" outlineLevel="0" collapsed="false">
      <c r="A53" s="46" t="s">
        <v>137</v>
      </c>
      <c r="B53" s="47" t="n">
        <v>28</v>
      </c>
      <c r="C53" s="47" t="n">
        <v>13</v>
      </c>
      <c r="D53" s="47" t="n">
        <v>15</v>
      </c>
      <c r="E53" s="48" t="n">
        <v>0.4643</v>
      </c>
      <c r="F53" s="47" t="s">
        <v>198</v>
      </c>
      <c r="G53" s="48" t="n">
        <f aca="false">C53/B53</f>
        <v>0.464285714285714</v>
      </c>
      <c r="H53" s="47" t="n">
        <f aca="false">C53*2+B53*0.5</f>
        <v>40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8"/>
  </cols>
  <sheetData>
    <row r="1" customFormat="false" ht="27.75" hidden="false" customHeight="true" outlineLevel="0" collapsed="false">
      <c r="A1" s="51" t="s">
        <v>200</v>
      </c>
      <c r="B1" s="51"/>
      <c r="C1" s="51"/>
      <c r="D1" s="51"/>
      <c r="E1" s="51"/>
      <c r="F1" s="51"/>
      <c r="G1" s="51"/>
      <c r="H1" s="51"/>
      <c r="I1" s="51"/>
    </row>
    <row r="2" customFormat="false" ht="27.75" hidden="false" customHeight="true" outlineLevel="0" collapsed="false">
      <c r="A2" s="52" t="s">
        <v>201</v>
      </c>
      <c r="B2" s="52" t="s">
        <v>18</v>
      </c>
      <c r="C2" s="52" t="s">
        <v>202</v>
      </c>
      <c r="D2" s="52" t="s">
        <v>203</v>
      </c>
      <c r="E2" s="52" t="s">
        <v>204</v>
      </c>
      <c r="F2" s="52" t="s">
        <v>205</v>
      </c>
      <c r="G2" s="52" t="s">
        <v>206</v>
      </c>
      <c r="H2" s="52" t="s">
        <v>207</v>
      </c>
      <c r="I2" s="52" t="s">
        <v>208</v>
      </c>
    </row>
    <row r="3" customFormat="false" ht="15.75" hidden="false" customHeight="true" outlineLevel="0" collapsed="false">
      <c r="A3" s="20" t="s">
        <v>209</v>
      </c>
      <c r="B3" s="21" t="s">
        <v>38</v>
      </c>
      <c r="C3" s="20" t="n">
        <v>87</v>
      </c>
      <c r="D3" s="20" t="s">
        <v>210</v>
      </c>
      <c r="E3" s="20" t="n">
        <v>0.82</v>
      </c>
      <c r="F3" s="20" t="n">
        <v>0.91</v>
      </c>
      <c r="G3" s="20" t="n">
        <v>0.78</v>
      </c>
      <c r="H3" s="20" t="n">
        <v>0.88</v>
      </c>
      <c r="I3" s="20" t="n">
        <f aca="false">AVERAGE(E3:H3)</f>
        <v>0.8475</v>
      </c>
    </row>
    <row r="4" customFormat="false" ht="15.75" hidden="false" customHeight="true" outlineLevel="0" collapsed="false">
      <c r="A4" s="20" t="s">
        <v>209</v>
      </c>
      <c r="B4" s="21" t="s">
        <v>50</v>
      </c>
      <c r="C4" s="20" t="n">
        <v>82</v>
      </c>
      <c r="D4" s="20" t="s">
        <v>210</v>
      </c>
      <c r="E4" s="20" t="n">
        <v>0.79</v>
      </c>
      <c r="F4" s="20" t="n">
        <v>0.88</v>
      </c>
      <c r="G4" s="20" t="n">
        <v>0.75</v>
      </c>
      <c r="H4" s="20" t="n">
        <v>0.85</v>
      </c>
      <c r="I4" s="20" t="n">
        <f aca="false">AVERAGE(E4:H4)</f>
        <v>0.8175</v>
      </c>
    </row>
    <row r="5" customFormat="false" ht="15.75" hidden="false" customHeight="true" outlineLevel="0" collapsed="false">
      <c r="A5" s="53" t="s">
        <v>209</v>
      </c>
      <c r="B5" s="54" t="s">
        <v>59</v>
      </c>
      <c r="C5" s="53" t="n">
        <v>79</v>
      </c>
      <c r="D5" s="53" t="s">
        <v>211</v>
      </c>
      <c r="E5" s="53" t="n">
        <v>0.75</v>
      </c>
      <c r="F5" s="53" t="n">
        <v>0.84</v>
      </c>
      <c r="G5" s="53" t="n">
        <v>0.71</v>
      </c>
      <c r="H5" s="53" t="n">
        <v>0.81</v>
      </c>
      <c r="I5" s="53" t="n">
        <f aca="false">AVERAGE(E5:H5)</f>
        <v>0.7775</v>
      </c>
    </row>
    <row r="6" customFormat="false" ht="15.75" hidden="false" customHeight="true" outlineLevel="0" collapsed="false">
      <c r="A6" s="53" t="s">
        <v>209</v>
      </c>
      <c r="B6" s="54" t="s">
        <v>42</v>
      </c>
      <c r="C6" s="53" t="n">
        <v>77</v>
      </c>
      <c r="D6" s="53" t="s">
        <v>211</v>
      </c>
      <c r="E6" s="53" t="n">
        <v>0.74</v>
      </c>
      <c r="F6" s="53" t="n">
        <v>0.83</v>
      </c>
      <c r="G6" s="53" t="n">
        <v>0.69</v>
      </c>
      <c r="H6" s="53" t="n">
        <v>0.8</v>
      </c>
      <c r="I6" s="53" t="n">
        <f aca="false">AVERAGE(E6:H6)</f>
        <v>0.765</v>
      </c>
    </row>
    <row r="7" customFormat="false" ht="15.75" hidden="false" customHeight="true" outlineLevel="0" collapsed="false">
      <c r="A7" s="53" t="s">
        <v>209</v>
      </c>
      <c r="B7" s="54" t="s">
        <v>126</v>
      </c>
      <c r="C7" s="53" t="n">
        <v>71</v>
      </c>
      <c r="D7" s="53" t="s">
        <v>211</v>
      </c>
      <c r="E7" s="53" t="n">
        <v>0.68</v>
      </c>
      <c r="F7" s="53" t="n">
        <v>0.78</v>
      </c>
      <c r="G7" s="53" t="n">
        <v>0.64</v>
      </c>
      <c r="H7" s="53" t="n">
        <v>0.74</v>
      </c>
      <c r="I7" s="53" t="n">
        <f aca="false">AVERAGE(E7:H7)</f>
        <v>0.71</v>
      </c>
    </row>
    <row r="8" customFormat="false" ht="15.75" hidden="false" customHeight="true" outlineLevel="0" collapsed="false">
      <c r="A8" s="47" t="s">
        <v>209</v>
      </c>
      <c r="B8" s="46" t="s">
        <v>111</v>
      </c>
      <c r="C8" s="47" t="n">
        <v>68</v>
      </c>
      <c r="D8" s="47" t="s">
        <v>212</v>
      </c>
      <c r="E8" s="47" t="n">
        <v>0.65</v>
      </c>
      <c r="F8" s="47" t="n">
        <v>0.75</v>
      </c>
      <c r="G8" s="47" t="n">
        <v>0.61</v>
      </c>
      <c r="H8" s="47" t="n">
        <v>0.71</v>
      </c>
      <c r="I8" s="47" t="n">
        <f aca="false">AVERAGE(E8:H8)</f>
        <v>0.68</v>
      </c>
    </row>
    <row r="9" customFormat="false" ht="15.75" hidden="false" customHeight="true" outlineLevel="0" collapsed="false">
      <c r="A9" s="47" t="s">
        <v>209</v>
      </c>
      <c r="B9" s="46" t="s">
        <v>119</v>
      </c>
      <c r="C9" s="47" t="n">
        <v>61</v>
      </c>
      <c r="D9" s="47" t="s">
        <v>212</v>
      </c>
      <c r="E9" s="47" t="n">
        <v>0.59</v>
      </c>
      <c r="F9" s="47" t="n">
        <v>0.69</v>
      </c>
      <c r="G9" s="47" t="n">
        <v>0.55</v>
      </c>
      <c r="H9" s="47" t="n">
        <v>0.64</v>
      </c>
      <c r="I9" s="47" t="n">
        <f aca="false">AVERAGE(E9:H9)</f>
        <v>0.6175</v>
      </c>
    </row>
    <row r="10" customFormat="false" ht="15.75" hidden="false" customHeight="true" outlineLevel="0" collapsed="false">
      <c r="A10" s="47" t="s">
        <v>209</v>
      </c>
      <c r="B10" s="46" t="s">
        <v>112</v>
      </c>
      <c r="C10" s="47" t="n">
        <v>58</v>
      </c>
      <c r="D10" s="47" t="s">
        <v>212</v>
      </c>
      <c r="E10" s="47" t="n">
        <v>0.56</v>
      </c>
      <c r="F10" s="47" t="n">
        <v>0.67</v>
      </c>
      <c r="G10" s="47" t="n">
        <v>0.52</v>
      </c>
      <c r="H10" s="47" t="n">
        <v>0.62</v>
      </c>
      <c r="I10" s="47" t="n">
        <f aca="false">AVERAGE(E10:H10)</f>
        <v>0.5925</v>
      </c>
    </row>
    <row r="11" customFormat="false" ht="15.75" hidden="false" customHeight="true" outlineLevel="0" collapsed="false">
      <c r="A11" s="20" t="s">
        <v>213</v>
      </c>
      <c r="B11" s="21" t="s">
        <v>9</v>
      </c>
      <c r="C11" s="20" t="n">
        <v>92</v>
      </c>
      <c r="D11" s="20" t="s">
        <v>210</v>
      </c>
      <c r="E11" s="20" t="n">
        <v>0.89</v>
      </c>
      <c r="F11" s="20" t="n">
        <v>0.95</v>
      </c>
      <c r="G11" s="20" t="n">
        <v>0.86</v>
      </c>
      <c r="H11" s="20" t="n">
        <v>0.94</v>
      </c>
      <c r="I11" s="20" t="n">
        <f aca="false">AVERAGE(E11:H11)</f>
        <v>0.91</v>
      </c>
    </row>
    <row r="12" customFormat="false" ht="15.75" hidden="false" customHeight="true" outlineLevel="0" collapsed="false">
      <c r="A12" s="20" t="s">
        <v>213</v>
      </c>
      <c r="B12" s="21" t="s">
        <v>46</v>
      </c>
      <c r="C12" s="20" t="n">
        <v>83</v>
      </c>
      <c r="D12" s="20" t="s">
        <v>210</v>
      </c>
      <c r="E12" s="20" t="n">
        <v>0.81</v>
      </c>
      <c r="F12" s="20" t="n">
        <v>0.89</v>
      </c>
      <c r="G12" s="20" t="n">
        <v>0.77</v>
      </c>
      <c r="H12" s="20" t="n">
        <v>0.87</v>
      </c>
      <c r="I12" s="20" t="n">
        <f aca="false">AVERAGE(E12:H12)</f>
        <v>0.835</v>
      </c>
    </row>
    <row r="13" customFormat="false" ht="15.75" hidden="false" customHeight="true" outlineLevel="0" collapsed="false">
      <c r="A13" s="53" t="s">
        <v>213</v>
      </c>
      <c r="B13" s="54" t="s">
        <v>67</v>
      </c>
      <c r="C13" s="53" t="n">
        <v>76</v>
      </c>
      <c r="D13" s="53" t="s">
        <v>211</v>
      </c>
      <c r="E13" s="53" t="n">
        <v>0.73</v>
      </c>
      <c r="F13" s="53" t="n">
        <v>0.82</v>
      </c>
      <c r="G13" s="53" t="n">
        <v>0.68</v>
      </c>
      <c r="H13" s="53" t="n">
        <v>0.79</v>
      </c>
      <c r="I13" s="53" t="n">
        <f aca="false">AVERAGE(E13:H13)</f>
        <v>0.755</v>
      </c>
    </row>
    <row r="14" customFormat="false" ht="15.75" hidden="false" customHeight="true" outlineLevel="0" collapsed="false">
      <c r="A14" s="53" t="s">
        <v>213</v>
      </c>
      <c r="B14" s="54" t="s">
        <v>135</v>
      </c>
      <c r="C14" s="53" t="n">
        <v>72</v>
      </c>
      <c r="D14" s="53" t="s">
        <v>211</v>
      </c>
      <c r="E14" s="53" t="n">
        <v>0.69</v>
      </c>
      <c r="F14" s="53" t="n">
        <v>0.79</v>
      </c>
      <c r="G14" s="53" t="n">
        <v>0.65</v>
      </c>
      <c r="H14" s="53" t="n">
        <v>0.76</v>
      </c>
      <c r="I14" s="53" t="n">
        <f aca="false">AVERAGE(E14:H14)</f>
        <v>0.7225</v>
      </c>
    </row>
    <row r="15" customFormat="false" ht="15.75" hidden="false" customHeight="true" outlineLevel="0" collapsed="false">
      <c r="A15" s="47" t="s">
        <v>213</v>
      </c>
      <c r="B15" s="46" t="s">
        <v>104</v>
      </c>
      <c r="C15" s="47" t="n">
        <v>61</v>
      </c>
      <c r="D15" s="47" t="s">
        <v>212</v>
      </c>
      <c r="E15" s="47" t="n">
        <v>0.58</v>
      </c>
      <c r="F15" s="47" t="n">
        <v>0.68</v>
      </c>
      <c r="G15" s="47" t="n">
        <v>0.54</v>
      </c>
      <c r="H15" s="47" t="n">
        <v>0.63</v>
      </c>
      <c r="I15" s="47" t="n">
        <f aca="false">AVERAGE(E15:H15)</f>
        <v>0.6075</v>
      </c>
    </row>
    <row r="16" customFormat="false" ht="15.75" hidden="false" customHeight="true" outlineLevel="0" collapsed="false">
      <c r="A16" s="55" t="s">
        <v>213</v>
      </c>
      <c r="B16" s="56" t="s">
        <v>120</v>
      </c>
      <c r="C16" s="55" t="n">
        <v>44</v>
      </c>
      <c r="D16" s="55" t="s">
        <v>214</v>
      </c>
      <c r="E16" s="55" t="n">
        <v>0.41</v>
      </c>
      <c r="F16" s="55" t="n">
        <v>0.52</v>
      </c>
      <c r="G16" s="55" t="n">
        <v>0.38</v>
      </c>
      <c r="H16" s="55" t="n">
        <v>0.47</v>
      </c>
      <c r="I16" s="55" t="n">
        <f aca="false">AVERAGE(E16:H16)</f>
        <v>0.445</v>
      </c>
    </row>
    <row r="17" customFormat="false" ht="15.75" hidden="false" customHeight="true" outlineLevel="0" collapsed="false">
      <c r="A17" s="47" t="s">
        <v>215</v>
      </c>
      <c r="B17" s="46" t="s">
        <v>134</v>
      </c>
      <c r="C17" s="47" t="n">
        <v>64</v>
      </c>
      <c r="D17" s="47" t="s">
        <v>212</v>
      </c>
      <c r="E17" s="47" t="n">
        <v>0.61</v>
      </c>
      <c r="F17" s="47" t="n">
        <v>0.71</v>
      </c>
      <c r="G17" s="47" t="n">
        <v>0.57</v>
      </c>
      <c r="H17" s="47" t="n">
        <v>0.67</v>
      </c>
      <c r="I17" s="47" t="n">
        <f aca="false">AVERAGE(E17:H17)</f>
        <v>0.64</v>
      </c>
    </row>
    <row r="18" customFormat="false" ht="15.75" hidden="false" customHeight="true" outlineLevel="0" collapsed="false">
      <c r="A18" s="47" t="s">
        <v>215</v>
      </c>
      <c r="B18" s="46" t="s">
        <v>108</v>
      </c>
      <c r="C18" s="47" t="n">
        <v>52</v>
      </c>
      <c r="D18" s="47" t="s">
        <v>212</v>
      </c>
      <c r="E18" s="47" t="n">
        <v>0.49</v>
      </c>
      <c r="F18" s="47" t="n">
        <v>0.6</v>
      </c>
      <c r="G18" s="47" t="n">
        <v>0.46</v>
      </c>
      <c r="H18" s="47" t="n">
        <v>0.55</v>
      </c>
      <c r="I18" s="47" t="n">
        <f aca="false">AVERAGE(E18:H18)</f>
        <v>0.525</v>
      </c>
    </row>
    <row r="19" customFormat="false" ht="15.75" hidden="false" customHeight="true" outlineLevel="0" collapsed="false">
      <c r="A19" s="55" t="s">
        <v>215</v>
      </c>
      <c r="B19" s="56" t="s">
        <v>109</v>
      </c>
      <c r="C19" s="55" t="n">
        <v>45</v>
      </c>
      <c r="D19" s="55" t="s">
        <v>214</v>
      </c>
      <c r="E19" s="55" t="n">
        <v>0.42</v>
      </c>
      <c r="F19" s="55" t="n">
        <v>0.53</v>
      </c>
      <c r="G19" s="55" t="n">
        <v>0.39</v>
      </c>
      <c r="H19" s="55" t="n">
        <v>0.48</v>
      </c>
      <c r="I19" s="55" t="n">
        <f aca="false">AVERAGE(E19:H19)</f>
        <v>0.455</v>
      </c>
    </row>
    <row r="20" customFormat="false" ht="15.75" hidden="false" customHeight="true" outlineLevel="0" collapsed="false">
      <c r="A20" s="55" t="s">
        <v>215</v>
      </c>
      <c r="B20" s="56" t="s">
        <v>132</v>
      </c>
      <c r="C20" s="55" t="n">
        <v>41</v>
      </c>
      <c r="D20" s="55" t="s">
        <v>214</v>
      </c>
      <c r="E20" s="55" t="n">
        <v>0.38</v>
      </c>
      <c r="F20" s="55" t="n">
        <v>0.49</v>
      </c>
      <c r="G20" s="55" t="n">
        <v>0.35</v>
      </c>
      <c r="H20" s="55" t="n">
        <v>0.44</v>
      </c>
      <c r="I20" s="55" t="n">
        <f aca="false">AVERAGE(E20:H20)</f>
        <v>0.415</v>
      </c>
    </row>
    <row r="21" customFormat="false" ht="15.75" hidden="false" customHeight="true" outlineLevel="0" collapsed="false">
      <c r="A21" s="25" t="s">
        <v>215</v>
      </c>
      <c r="B21" s="26" t="s">
        <v>77</v>
      </c>
      <c r="C21" s="25" t="n">
        <v>18</v>
      </c>
      <c r="D21" s="25" t="s">
        <v>216</v>
      </c>
      <c r="E21" s="25" t="n">
        <v>0.15</v>
      </c>
      <c r="F21" s="25" t="n">
        <v>0.26</v>
      </c>
      <c r="G21" s="25" t="n">
        <v>0.12</v>
      </c>
      <c r="H21" s="25" t="n">
        <v>0.21</v>
      </c>
      <c r="I21" s="25" t="n">
        <f aca="false">AVERAGE(E21:H21)</f>
        <v>0.185</v>
      </c>
    </row>
    <row r="22" customFormat="false" ht="15.75" hidden="false" customHeight="true" outlineLevel="0" collapsed="false">
      <c r="A22" s="25" t="s">
        <v>215</v>
      </c>
      <c r="B22" s="26" t="s">
        <v>89</v>
      </c>
      <c r="C22" s="25" t="n">
        <v>6</v>
      </c>
      <c r="D22" s="25" t="s">
        <v>216</v>
      </c>
      <c r="E22" s="25" t="n">
        <v>0.03</v>
      </c>
      <c r="F22" s="25" t="n">
        <v>0.14</v>
      </c>
      <c r="G22" s="25" t="n">
        <v>0.01</v>
      </c>
      <c r="H22" s="25" t="n">
        <v>0.09</v>
      </c>
      <c r="I22" s="25" t="n">
        <f aca="false">AVERAGE(E22:H22)</f>
        <v>0.0675</v>
      </c>
    </row>
    <row r="23" customFormat="false" ht="15.75" hidden="false" customHeight="true" outlineLevel="0" collapsed="false">
      <c r="A23" s="53" t="s">
        <v>217</v>
      </c>
      <c r="B23" s="54" t="s">
        <v>117</v>
      </c>
      <c r="C23" s="53" t="n">
        <v>74</v>
      </c>
      <c r="D23" s="53" t="s">
        <v>211</v>
      </c>
      <c r="E23" s="53" t="n">
        <v>0.71</v>
      </c>
      <c r="F23" s="53" t="n">
        <v>0.81</v>
      </c>
      <c r="G23" s="53" t="n">
        <v>0.67</v>
      </c>
      <c r="H23" s="53" t="n">
        <v>0.77</v>
      </c>
      <c r="I23" s="53" t="n">
        <f aca="false">AVERAGE(E23:H23)</f>
        <v>0.74</v>
      </c>
    </row>
    <row r="24" customFormat="false" ht="15.75" hidden="false" customHeight="true" outlineLevel="0" collapsed="false">
      <c r="A24" s="53" t="s">
        <v>217</v>
      </c>
      <c r="B24" s="54" t="s">
        <v>105</v>
      </c>
      <c r="C24" s="53" t="n">
        <v>69</v>
      </c>
      <c r="D24" s="53" t="s">
        <v>211</v>
      </c>
      <c r="E24" s="53" t="n">
        <v>0.66</v>
      </c>
      <c r="F24" s="53" t="n">
        <v>0.76</v>
      </c>
      <c r="G24" s="53" t="n">
        <v>0.62</v>
      </c>
      <c r="H24" s="53" t="n">
        <v>0.72</v>
      </c>
      <c r="I24" s="53" t="n">
        <f aca="false">AVERAGE(E24:H24)</f>
        <v>0.69</v>
      </c>
    </row>
    <row r="25" customFormat="false" ht="15.75" hidden="false" customHeight="true" outlineLevel="0" collapsed="false">
      <c r="A25" s="47" t="s">
        <v>217</v>
      </c>
      <c r="B25" s="46" t="s">
        <v>128</v>
      </c>
      <c r="C25" s="47" t="n">
        <v>63</v>
      </c>
      <c r="D25" s="47" t="s">
        <v>212</v>
      </c>
      <c r="E25" s="47" t="n">
        <v>0.6</v>
      </c>
      <c r="F25" s="47" t="n">
        <v>0.7</v>
      </c>
      <c r="G25" s="47" t="n">
        <v>0.56</v>
      </c>
      <c r="H25" s="47" t="n">
        <v>0.66</v>
      </c>
      <c r="I25" s="47" t="n">
        <f aca="false">AVERAGE(E25:H25)</f>
        <v>0.63</v>
      </c>
    </row>
    <row r="26" customFormat="false" ht="15.75" hidden="false" customHeight="true" outlineLevel="0" collapsed="false">
      <c r="A26" s="47" t="s">
        <v>217</v>
      </c>
      <c r="B26" s="46" t="s">
        <v>123</v>
      </c>
      <c r="C26" s="47" t="n">
        <v>54</v>
      </c>
      <c r="D26" s="47" t="s">
        <v>212</v>
      </c>
      <c r="E26" s="47" t="n">
        <v>0.51</v>
      </c>
      <c r="F26" s="47" t="n">
        <v>0.62</v>
      </c>
      <c r="G26" s="47" t="n">
        <v>0.48</v>
      </c>
      <c r="H26" s="47" t="n">
        <v>0.57</v>
      </c>
      <c r="I26" s="47" t="n">
        <f aca="false">AVERAGE(E26:H26)</f>
        <v>0.545</v>
      </c>
    </row>
    <row r="27" customFormat="false" ht="15.75" hidden="false" customHeight="true" outlineLevel="0" collapsed="false">
      <c r="A27" s="25" t="s">
        <v>217</v>
      </c>
      <c r="B27" s="26" t="s">
        <v>71</v>
      </c>
      <c r="C27" s="25" t="n">
        <v>22</v>
      </c>
      <c r="D27" s="25" t="s">
        <v>216</v>
      </c>
      <c r="E27" s="25" t="n">
        <v>0.19</v>
      </c>
      <c r="F27" s="25" t="n">
        <v>0.3</v>
      </c>
      <c r="G27" s="25" t="n">
        <v>0.16</v>
      </c>
      <c r="H27" s="25" t="n">
        <v>0.25</v>
      </c>
      <c r="I27" s="25" t="n">
        <f aca="false">AVERAGE(E27:H27)</f>
        <v>0.225</v>
      </c>
    </row>
    <row r="30" customFormat="false" ht="21.75" hidden="false" customHeight="true" outlineLevel="0" collapsed="false">
      <c r="A30" s="37" t="s">
        <v>218</v>
      </c>
      <c r="B30" s="37"/>
      <c r="C30" s="37"/>
      <c r="D30" s="37"/>
      <c r="E30" s="37"/>
      <c r="F30" s="37"/>
      <c r="G30" s="37"/>
      <c r="H30" s="37"/>
      <c r="I30" s="37"/>
    </row>
    <row r="31" customFormat="false" ht="18" hidden="false" customHeight="true" outlineLevel="0" collapsed="false">
      <c r="A31" s="57" t="s">
        <v>209</v>
      </c>
      <c r="B31" s="31" t="n">
        <f aca="false">AVERAGEIF($A$3:$A$27,A31,$C$3:$C$27)</f>
        <v>72.875</v>
      </c>
      <c r="C31" s="31" t="n">
        <f aca="false">COUNTIF($A$3:$A$27,A31)</f>
        <v>8</v>
      </c>
      <c r="D31" s="31" t="n">
        <f aca="false">AVERAGEIF($A$3:$A$27,A31,$C$3:$C$27)-10</f>
        <v>62.875</v>
      </c>
      <c r="E31" s="31" t="n">
        <f aca="false">AVERAGEIF($A$3:$A$27,A31,$C$3:$C$27)+10</f>
        <v>82.875</v>
      </c>
    </row>
    <row r="32" customFormat="false" ht="18" hidden="false" customHeight="true" outlineLevel="0" collapsed="false">
      <c r="A32" s="58" t="s">
        <v>213</v>
      </c>
      <c r="B32" s="23" t="n">
        <f aca="false">AVERAGEIF($A$3:$A$27,A32,$C$3:$C$27)</f>
        <v>71.3333333333333</v>
      </c>
      <c r="C32" s="23" t="n">
        <f aca="false">COUNTIF($A$3:$A$27,A32)</f>
        <v>6</v>
      </c>
      <c r="D32" s="23" t="n">
        <f aca="false">AVERAGEIF($A$3:$A$27,A32,$C$3:$C$27)-10</f>
        <v>61.3333333333333</v>
      </c>
      <c r="E32" s="23" t="n">
        <f aca="false">AVERAGEIF($A$3:$A$27,A32,$C$3:$C$27)+10</f>
        <v>81.3333333333333</v>
      </c>
    </row>
    <row r="33" customFormat="false" ht="18" hidden="false" customHeight="true" outlineLevel="0" collapsed="false">
      <c r="A33" s="57" t="s">
        <v>215</v>
      </c>
      <c r="B33" s="31" t="n">
        <f aca="false">AVERAGEIF($A$3:$A$27,A33,$C$3:$C$27)</f>
        <v>37.6666666666667</v>
      </c>
      <c r="C33" s="31" t="n">
        <f aca="false">COUNTIF($A$3:$A$27,A33)</f>
        <v>6</v>
      </c>
      <c r="D33" s="31" t="n">
        <f aca="false">AVERAGEIF($A$3:$A$27,A33,$C$3:$C$27)-10</f>
        <v>27.6666666666667</v>
      </c>
      <c r="E33" s="31" t="n">
        <f aca="false">AVERAGEIF($A$3:$A$27,A33,$C$3:$C$27)+10</f>
        <v>47.6666666666667</v>
      </c>
    </row>
    <row r="34" customFormat="false" ht="18" hidden="false" customHeight="true" outlineLevel="0" collapsed="false">
      <c r="A34" s="58" t="s">
        <v>217</v>
      </c>
      <c r="B34" s="23" t="n">
        <f aca="false">AVERAGEIF($A$3:$A$27,A34,$C$3:$C$27)</f>
        <v>56.4</v>
      </c>
      <c r="C34" s="23" t="n">
        <f aca="false">COUNTIF($A$3:$A$27,A34)</f>
        <v>5</v>
      </c>
      <c r="D34" s="23" t="n">
        <f aca="false">AVERAGEIF($A$3:$A$27,A34,$C$3:$C$27)-10</f>
        <v>46.4</v>
      </c>
      <c r="E34" s="23" t="n">
        <f aca="false">AVERAGEIF($A$3:$A$27,A34,$C$3:$C$27)+10</f>
        <v>66.4</v>
      </c>
    </row>
  </sheetData>
  <mergeCells count="2">
    <mergeCell ref="A1:I1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36"/>
  </cols>
  <sheetData>
    <row r="1" customFormat="false" ht="30" hidden="false" customHeight="true" outlineLevel="0" collapsed="false">
      <c r="A1" s="59" t="s">
        <v>219</v>
      </c>
      <c r="B1" s="59"/>
      <c r="C1" s="59"/>
      <c r="D1" s="59"/>
      <c r="E1" s="59"/>
      <c r="F1" s="59"/>
    </row>
    <row r="2" customFormat="false" ht="15" hidden="false" customHeight="true" outlineLevel="0" collapsed="false">
      <c r="A2" s="60" t="s">
        <v>220</v>
      </c>
      <c r="B2" s="60"/>
      <c r="C2" s="60"/>
      <c r="D2" s="60"/>
      <c r="E2" s="60"/>
      <c r="F2" s="60"/>
    </row>
    <row r="4" customFormat="false" ht="21.75" hidden="false" customHeight="true" outlineLevel="0" collapsed="false">
      <c r="A4" s="61" t="s">
        <v>221</v>
      </c>
      <c r="B4" s="61"/>
      <c r="C4" s="61"/>
      <c r="D4" s="61"/>
      <c r="E4" s="61"/>
      <c r="F4" s="61"/>
    </row>
    <row r="5" customFormat="false" ht="18" hidden="false" customHeight="true" outlineLevel="0" collapsed="false">
      <c r="A5" s="62" t="s">
        <v>222</v>
      </c>
      <c r="B5" s="62" t="s">
        <v>223</v>
      </c>
      <c r="C5" s="62" t="s">
        <v>224</v>
      </c>
      <c r="D5" s="62" t="s">
        <v>225</v>
      </c>
      <c r="E5" s="62" t="s">
        <v>226</v>
      </c>
    </row>
    <row r="6" customFormat="false" ht="15.75" hidden="false" customHeight="true" outlineLevel="0" collapsed="false">
      <c r="A6" s="63" t="s">
        <v>227</v>
      </c>
      <c r="B6" s="64" t="s">
        <v>228</v>
      </c>
      <c r="C6" s="64" t="s">
        <v>229</v>
      </c>
      <c r="D6" s="64" t="s">
        <v>168</v>
      </c>
      <c r="E6" s="64" t="s">
        <v>230</v>
      </c>
    </row>
    <row r="7" customFormat="false" ht="15.75" hidden="false" customHeight="true" outlineLevel="0" collapsed="false">
      <c r="A7" s="65" t="s">
        <v>231</v>
      </c>
      <c r="B7" s="66" t="s">
        <v>232</v>
      </c>
      <c r="C7" s="66" t="s">
        <v>233</v>
      </c>
      <c r="D7" s="66" t="s">
        <v>168</v>
      </c>
      <c r="E7" s="66" t="s">
        <v>234</v>
      </c>
    </row>
    <row r="8" customFormat="false" ht="15.75" hidden="false" customHeight="true" outlineLevel="0" collapsed="false">
      <c r="A8" s="67" t="s">
        <v>235</v>
      </c>
      <c r="B8" s="68" t="s">
        <v>236</v>
      </c>
      <c r="C8" s="68" t="s">
        <v>233</v>
      </c>
      <c r="D8" s="68" t="s">
        <v>168</v>
      </c>
      <c r="E8" s="68" t="s">
        <v>237</v>
      </c>
    </row>
    <row r="9" customFormat="false" ht="15.75" hidden="false" customHeight="true" outlineLevel="0" collapsed="false">
      <c r="A9" s="65" t="s">
        <v>238</v>
      </c>
      <c r="B9" s="66" t="s">
        <v>236</v>
      </c>
      <c r="C9" s="66" t="s">
        <v>233</v>
      </c>
      <c r="D9" s="66" t="s">
        <v>168</v>
      </c>
      <c r="E9" s="66" t="s">
        <v>239</v>
      </c>
    </row>
    <row r="10" customFormat="false" ht="15.75" hidden="false" customHeight="true" outlineLevel="0" collapsed="false">
      <c r="A10" s="69" t="s">
        <v>240</v>
      </c>
      <c r="B10" s="70" t="s">
        <v>236</v>
      </c>
      <c r="C10" s="70"/>
      <c r="D10" s="70" t="s">
        <v>159</v>
      </c>
      <c r="E10" s="70" t="s">
        <v>241</v>
      </c>
    </row>
    <row r="11" customFormat="false" ht="15.75" hidden="false" customHeight="true" outlineLevel="0" collapsed="false">
      <c r="A11" s="71" t="s">
        <v>242</v>
      </c>
      <c r="B11" s="72" t="s">
        <v>243</v>
      </c>
      <c r="C11" s="72"/>
      <c r="D11" s="72" t="s">
        <v>168</v>
      </c>
      <c r="E11" s="72" t="s">
        <v>244</v>
      </c>
    </row>
    <row r="12" customFormat="false" ht="15.75" hidden="false" customHeight="true" outlineLevel="0" collapsed="false">
      <c r="A12" s="69" t="s">
        <v>245</v>
      </c>
      <c r="B12" s="70" t="s">
        <v>246</v>
      </c>
      <c r="C12" s="70"/>
      <c r="D12" s="70" t="s">
        <v>159</v>
      </c>
      <c r="E12" s="70" t="s">
        <v>247</v>
      </c>
    </row>
    <row r="13" customFormat="false" ht="15.75" hidden="false" customHeight="true" outlineLevel="0" collapsed="false">
      <c r="A13" s="71" t="s">
        <v>248</v>
      </c>
      <c r="B13" s="72" t="s">
        <v>246</v>
      </c>
      <c r="C13" s="72"/>
      <c r="D13" s="72" t="s">
        <v>159</v>
      </c>
      <c r="E13" s="72" t="s">
        <v>249</v>
      </c>
    </row>
    <row r="14" customFormat="false" ht="15.75" hidden="false" customHeight="true" outlineLevel="0" collapsed="false">
      <c r="A14" s="69" t="s">
        <v>250</v>
      </c>
      <c r="B14" s="70" t="s">
        <v>246</v>
      </c>
      <c r="C14" s="70"/>
      <c r="D14" s="70" t="s">
        <v>159</v>
      </c>
      <c r="E14" s="70" t="s">
        <v>251</v>
      </c>
    </row>
    <row r="15" customFormat="false" ht="15.75" hidden="false" customHeight="true" outlineLevel="0" collapsed="false">
      <c r="A15" s="71" t="s">
        <v>252</v>
      </c>
      <c r="B15" s="72" t="s">
        <v>253</v>
      </c>
      <c r="C15" s="72"/>
      <c r="D15" s="72" t="s">
        <v>168</v>
      </c>
      <c r="E15" s="72" t="s">
        <v>254</v>
      </c>
    </row>
    <row r="16" customFormat="false" ht="15.75" hidden="false" customHeight="true" outlineLevel="0" collapsed="false">
      <c r="A16" s="69" t="s">
        <v>255</v>
      </c>
      <c r="B16" s="70" t="s">
        <v>256</v>
      </c>
      <c r="C16" s="70"/>
      <c r="D16" s="70" t="s">
        <v>168</v>
      </c>
      <c r="E16" s="70" t="s">
        <v>257</v>
      </c>
    </row>
    <row r="18" customFormat="false" ht="21.75" hidden="false" customHeight="true" outlineLevel="0" collapsed="false">
      <c r="A18" s="73" t="s">
        <v>258</v>
      </c>
      <c r="B18" s="73"/>
      <c r="C18" s="73"/>
      <c r="D18" s="73"/>
      <c r="E18" s="73"/>
      <c r="F18" s="73"/>
    </row>
    <row r="19" customFormat="false" ht="18" hidden="false" customHeight="true" outlineLevel="0" collapsed="false">
      <c r="A19" s="62" t="s">
        <v>222</v>
      </c>
      <c r="B19" s="62" t="s">
        <v>223</v>
      </c>
      <c r="C19" s="62" t="s">
        <v>224</v>
      </c>
      <c r="D19" s="62" t="s">
        <v>225</v>
      </c>
      <c r="E19" s="62" t="s">
        <v>226</v>
      </c>
    </row>
    <row r="20" customFormat="false" ht="15.75" hidden="false" customHeight="true" outlineLevel="0" collapsed="false">
      <c r="A20" s="63" t="s">
        <v>259</v>
      </c>
      <c r="B20" s="64" t="s">
        <v>232</v>
      </c>
      <c r="C20" s="64" t="s">
        <v>229</v>
      </c>
      <c r="D20" s="64" t="s">
        <v>168</v>
      </c>
      <c r="E20" s="64" t="s">
        <v>260</v>
      </c>
    </row>
    <row r="21" customFormat="false" ht="15.75" hidden="false" customHeight="true" outlineLevel="0" collapsed="false">
      <c r="A21" s="71" t="s">
        <v>261</v>
      </c>
      <c r="B21" s="72" t="s">
        <v>262</v>
      </c>
      <c r="C21" s="72"/>
      <c r="D21" s="72" t="s">
        <v>168</v>
      </c>
      <c r="E21" s="72" t="s">
        <v>263</v>
      </c>
    </row>
    <row r="22" customFormat="false" ht="15.75" hidden="false" customHeight="true" outlineLevel="0" collapsed="false">
      <c r="A22" s="69" t="s">
        <v>264</v>
      </c>
      <c r="B22" s="70" t="s">
        <v>265</v>
      </c>
      <c r="C22" s="70"/>
      <c r="D22" s="70" t="s">
        <v>168</v>
      </c>
      <c r="E22" s="70" t="s">
        <v>266</v>
      </c>
    </row>
    <row r="23" customFormat="false" ht="15.75" hidden="false" customHeight="true" outlineLevel="0" collapsed="false">
      <c r="A23" s="71" t="s">
        <v>267</v>
      </c>
      <c r="B23" s="72" t="s">
        <v>268</v>
      </c>
      <c r="C23" s="72"/>
      <c r="D23" s="72" t="s">
        <v>168</v>
      </c>
      <c r="E23" s="72" t="s">
        <v>269</v>
      </c>
    </row>
    <row r="24" customFormat="false" ht="15.75" hidden="false" customHeight="true" outlineLevel="0" collapsed="false">
      <c r="A24" s="69" t="s">
        <v>270</v>
      </c>
      <c r="B24" s="70" t="s">
        <v>246</v>
      </c>
      <c r="C24" s="70"/>
      <c r="D24" s="70" t="s">
        <v>159</v>
      </c>
      <c r="E24" s="70" t="s">
        <v>271</v>
      </c>
    </row>
    <row r="26" customFormat="false" ht="21.75" hidden="false" customHeight="true" outlineLevel="0" collapsed="false">
      <c r="A26" s="74" t="s">
        <v>272</v>
      </c>
      <c r="B26" s="74"/>
      <c r="C26" s="74"/>
      <c r="D26" s="74"/>
      <c r="E26" s="74"/>
      <c r="F26" s="74"/>
    </row>
    <row r="27" customFormat="false" ht="18" hidden="false" customHeight="true" outlineLevel="0" collapsed="false">
      <c r="A27" s="62" t="s">
        <v>222</v>
      </c>
      <c r="B27" s="62" t="s">
        <v>223</v>
      </c>
      <c r="C27" s="62" t="s">
        <v>224</v>
      </c>
      <c r="D27" s="62" t="s">
        <v>225</v>
      </c>
      <c r="E27" s="62" t="s">
        <v>226</v>
      </c>
    </row>
    <row r="28" customFormat="false" ht="15.75" hidden="false" customHeight="true" outlineLevel="0" collapsed="false">
      <c r="A28" s="63" t="s">
        <v>273</v>
      </c>
      <c r="B28" s="64" t="s">
        <v>274</v>
      </c>
      <c r="C28" s="64" t="s">
        <v>229</v>
      </c>
      <c r="D28" s="64" t="s">
        <v>168</v>
      </c>
      <c r="E28" s="64" t="s">
        <v>275</v>
      </c>
    </row>
    <row r="29" customFormat="false" ht="15.75" hidden="false" customHeight="true" outlineLevel="0" collapsed="false">
      <c r="A29" s="71" t="s">
        <v>276</v>
      </c>
      <c r="B29" s="72" t="s">
        <v>277</v>
      </c>
      <c r="C29" s="72"/>
      <c r="D29" s="72" t="s">
        <v>168</v>
      </c>
      <c r="E29" s="72" t="s">
        <v>278</v>
      </c>
    </row>
    <row r="30" customFormat="false" ht="15.75" hidden="false" customHeight="true" outlineLevel="0" collapsed="false">
      <c r="A30" s="69" t="s">
        <v>279</v>
      </c>
      <c r="B30" s="70" t="s">
        <v>280</v>
      </c>
      <c r="C30" s="70"/>
      <c r="D30" s="70" t="s">
        <v>168</v>
      </c>
      <c r="E30" s="70" t="s">
        <v>281</v>
      </c>
    </row>
    <row r="32" customFormat="false" ht="21.75" hidden="false" customHeight="true" outlineLevel="0" collapsed="false">
      <c r="A32" s="74" t="s">
        <v>282</v>
      </c>
      <c r="B32" s="74"/>
      <c r="C32" s="74"/>
      <c r="D32" s="74"/>
      <c r="E32" s="74"/>
      <c r="F32" s="74"/>
    </row>
    <row r="33" customFormat="false" ht="18" hidden="false" customHeight="true" outlineLevel="0" collapsed="false">
      <c r="A33" s="62" t="s">
        <v>222</v>
      </c>
      <c r="B33" s="62" t="s">
        <v>223</v>
      </c>
      <c r="C33" s="62" t="s">
        <v>224</v>
      </c>
      <c r="D33" s="62" t="s">
        <v>225</v>
      </c>
      <c r="E33" s="62" t="s">
        <v>226</v>
      </c>
    </row>
    <row r="34" customFormat="false" ht="15.75" hidden="false" customHeight="true" outlineLevel="0" collapsed="false">
      <c r="A34" s="63" t="s">
        <v>283</v>
      </c>
      <c r="B34" s="64" t="s">
        <v>274</v>
      </c>
      <c r="C34" s="64" t="s">
        <v>229</v>
      </c>
      <c r="D34" s="64" t="s">
        <v>168</v>
      </c>
      <c r="E34" s="64" t="s">
        <v>275</v>
      </c>
    </row>
    <row r="35" customFormat="false" ht="15.75" hidden="false" customHeight="true" outlineLevel="0" collapsed="false">
      <c r="A35" s="71" t="s">
        <v>284</v>
      </c>
      <c r="B35" s="72" t="s">
        <v>277</v>
      </c>
      <c r="C35" s="72"/>
      <c r="D35" s="72" t="s">
        <v>168</v>
      </c>
      <c r="E35" s="72" t="s">
        <v>285</v>
      </c>
    </row>
    <row r="36" customFormat="false" ht="15.75" hidden="false" customHeight="true" outlineLevel="0" collapsed="false">
      <c r="A36" s="69" t="s">
        <v>286</v>
      </c>
      <c r="B36" s="70" t="s">
        <v>280</v>
      </c>
      <c r="C36" s="70"/>
      <c r="D36" s="70" t="s">
        <v>168</v>
      </c>
      <c r="E36" s="70" t="s">
        <v>287</v>
      </c>
    </row>
    <row r="38" customFormat="false" ht="21.75" hidden="false" customHeight="true" outlineLevel="0" collapsed="false">
      <c r="A38" s="61" t="s">
        <v>288</v>
      </c>
      <c r="B38" s="61"/>
      <c r="C38" s="61"/>
      <c r="D38" s="61"/>
      <c r="E38" s="61"/>
      <c r="F38" s="61"/>
    </row>
    <row r="39" customFormat="false" ht="18" hidden="false" customHeight="true" outlineLevel="0" collapsed="false">
      <c r="A39" s="75" t="s">
        <v>289</v>
      </c>
      <c r="B39" s="76" t="s">
        <v>290</v>
      </c>
      <c r="C39" s="76"/>
      <c r="D39" s="76"/>
      <c r="E39" s="76"/>
      <c r="F39" s="76"/>
    </row>
    <row r="40" customFormat="false" ht="18" hidden="false" customHeight="true" outlineLevel="0" collapsed="false">
      <c r="A40" s="75" t="s">
        <v>291</v>
      </c>
      <c r="B40" s="76" t="s">
        <v>292</v>
      </c>
      <c r="C40" s="76"/>
      <c r="D40" s="76"/>
      <c r="E40" s="76"/>
      <c r="F40" s="76"/>
    </row>
    <row r="41" customFormat="false" ht="18" hidden="false" customHeight="true" outlineLevel="0" collapsed="false">
      <c r="A41" s="75" t="s">
        <v>293</v>
      </c>
      <c r="B41" s="76" t="s">
        <v>294</v>
      </c>
      <c r="C41" s="76"/>
      <c r="D41" s="76"/>
      <c r="E41" s="76"/>
      <c r="F41" s="76"/>
    </row>
    <row r="42" customFormat="false" ht="18" hidden="false" customHeight="true" outlineLevel="0" collapsed="false">
      <c r="A42" s="75" t="s">
        <v>295</v>
      </c>
      <c r="B42" s="76" t="s">
        <v>296</v>
      </c>
      <c r="C42" s="76"/>
      <c r="D42" s="76"/>
      <c r="E42" s="76"/>
      <c r="F42" s="76"/>
    </row>
    <row r="43" customFormat="false" ht="18" hidden="false" customHeight="true" outlineLevel="0" collapsed="false">
      <c r="A43" s="75" t="s">
        <v>297</v>
      </c>
      <c r="B43" s="76" t="s">
        <v>298</v>
      </c>
      <c r="C43" s="76"/>
      <c r="D43" s="76"/>
      <c r="E43" s="76"/>
      <c r="F43" s="76"/>
    </row>
    <row r="44" customFormat="false" ht="18" hidden="false" customHeight="true" outlineLevel="0" collapsed="false">
      <c r="A44" s="75" t="s">
        <v>299</v>
      </c>
      <c r="B44" s="76" t="s">
        <v>300</v>
      </c>
      <c r="C44" s="76"/>
      <c r="D44" s="76"/>
      <c r="E44" s="76"/>
      <c r="F44" s="76"/>
    </row>
  </sheetData>
  <mergeCells count="13">
    <mergeCell ref="A1:F1"/>
    <mergeCell ref="A2:F2"/>
    <mergeCell ref="A4:F4"/>
    <mergeCell ref="A18:F18"/>
    <mergeCell ref="A26:F26"/>
    <mergeCell ref="A32:F32"/>
    <mergeCell ref="A38:F38"/>
    <mergeCell ref="B39:F39"/>
    <mergeCell ref="B40:F40"/>
    <mergeCell ref="B41:F41"/>
    <mergeCell ref="B42:F42"/>
    <mergeCell ref="B43:F43"/>
    <mergeCell ref="B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20"/>
  </cols>
  <sheetData>
    <row r="1" customFormat="false" ht="27.75" hidden="false" customHeight="true" outlineLevel="0" collapsed="false">
      <c r="A1" s="77" t="s">
        <v>301</v>
      </c>
      <c r="B1" s="77"/>
      <c r="C1" s="77"/>
      <c r="D1" s="77"/>
    </row>
    <row r="3" customFormat="false" ht="19.5" hidden="false" customHeight="true" outlineLevel="0" collapsed="false">
      <c r="A3" s="78" t="s">
        <v>302</v>
      </c>
      <c r="B3" s="78"/>
      <c r="C3" s="78"/>
      <c r="D3" s="78"/>
    </row>
    <row r="4" customFormat="false" ht="18" hidden="false" customHeight="true" outlineLevel="0" collapsed="false">
      <c r="A4" s="79" t="s">
        <v>303</v>
      </c>
      <c r="B4" s="80" t="s">
        <v>304</v>
      </c>
      <c r="C4" s="81" t="s">
        <v>305</v>
      </c>
    </row>
    <row r="5" customFormat="false" ht="18" hidden="false" customHeight="true" outlineLevel="0" collapsed="false">
      <c r="A5" s="82" t="s">
        <v>306</v>
      </c>
      <c r="B5" s="83" t="s">
        <v>307</v>
      </c>
      <c r="C5" s="84" t="s">
        <v>308</v>
      </c>
    </row>
    <row r="6" customFormat="false" ht="18" hidden="false" customHeight="true" outlineLevel="0" collapsed="false">
      <c r="A6" s="79" t="s">
        <v>309</v>
      </c>
      <c r="B6" s="80" t="s">
        <v>310</v>
      </c>
      <c r="C6" s="81" t="s">
        <v>311</v>
      </c>
    </row>
    <row r="7" customFormat="false" ht="18" hidden="false" customHeight="true" outlineLevel="0" collapsed="false">
      <c r="A7" s="82" t="s">
        <v>312</v>
      </c>
      <c r="B7" s="83" t="s">
        <v>313</v>
      </c>
      <c r="C7" s="84" t="s">
        <v>314</v>
      </c>
    </row>
    <row r="8" customFormat="false" ht="18" hidden="false" customHeight="true" outlineLevel="0" collapsed="false">
      <c r="A8" s="79" t="s">
        <v>315</v>
      </c>
      <c r="B8" s="80" t="s">
        <v>316</v>
      </c>
      <c r="C8" s="81" t="s">
        <v>317</v>
      </c>
    </row>
    <row r="10" customFormat="false" ht="19.5" hidden="false" customHeight="true" outlineLevel="0" collapsed="false">
      <c r="A10" s="85" t="s">
        <v>318</v>
      </c>
      <c r="B10" s="85"/>
      <c r="C10" s="85"/>
      <c r="D10" s="85"/>
    </row>
    <row r="11" customFormat="false" ht="18" hidden="false" customHeight="true" outlineLevel="0" collapsed="false">
      <c r="A11" s="82" t="s">
        <v>319</v>
      </c>
      <c r="B11" s="83" t="s">
        <v>320</v>
      </c>
      <c r="C11" s="84" t="s">
        <v>321</v>
      </c>
    </row>
    <row r="12" customFormat="false" ht="18" hidden="false" customHeight="true" outlineLevel="0" collapsed="false">
      <c r="A12" s="79" t="s">
        <v>322</v>
      </c>
      <c r="B12" s="80" t="s">
        <v>323</v>
      </c>
      <c r="C12" s="81" t="s">
        <v>324</v>
      </c>
    </row>
    <row r="13" customFormat="false" ht="18" hidden="false" customHeight="true" outlineLevel="0" collapsed="false">
      <c r="A13" s="82" t="s">
        <v>325</v>
      </c>
      <c r="B13" s="83" t="s">
        <v>326</v>
      </c>
      <c r="C13" s="84" t="s">
        <v>327</v>
      </c>
    </row>
    <row r="14" customFormat="false" ht="18" hidden="false" customHeight="true" outlineLevel="0" collapsed="false">
      <c r="A14" s="79" t="s">
        <v>328</v>
      </c>
      <c r="B14" s="80" t="s">
        <v>329</v>
      </c>
      <c r="C14" s="81" t="s">
        <v>330</v>
      </c>
    </row>
    <row r="15" customFormat="false" ht="18" hidden="false" customHeight="true" outlineLevel="0" collapsed="false">
      <c r="A15" s="82" t="s">
        <v>331</v>
      </c>
      <c r="B15" s="83" t="s">
        <v>332</v>
      </c>
      <c r="C15" s="84" t="s">
        <v>333</v>
      </c>
    </row>
    <row r="16" customFormat="false" ht="18" hidden="false" customHeight="true" outlineLevel="0" collapsed="false">
      <c r="A16" s="79" t="s">
        <v>334</v>
      </c>
      <c r="B16" s="80" t="s">
        <v>335</v>
      </c>
      <c r="C16" s="81" t="s">
        <v>336</v>
      </c>
    </row>
    <row r="17" customFormat="false" ht="18" hidden="false" customHeight="true" outlineLevel="0" collapsed="false">
      <c r="A17" s="82" t="s">
        <v>337</v>
      </c>
      <c r="B17" s="83" t="s">
        <v>338</v>
      </c>
      <c r="C17" s="84" t="s">
        <v>339</v>
      </c>
    </row>
    <row r="19" customFormat="false" ht="19.5" hidden="false" customHeight="true" outlineLevel="0" collapsed="false">
      <c r="A19" s="86" t="s">
        <v>340</v>
      </c>
      <c r="B19" s="86"/>
      <c r="C19" s="86"/>
      <c r="D19" s="86"/>
    </row>
    <row r="20" customFormat="false" ht="18" hidden="false" customHeight="true" outlineLevel="0" collapsed="false">
      <c r="A20" s="79" t="s">
        <v>341</v>
      </c>
      <c r="B20" s="80" t="s">
        <v>342</v>
      </c>
      <c r="C20" s="81" t="s">
        <v>343</v>
      </c>
    </row>
    <row r="21" customFormat="false" ht="18" hidden="false" customHeight="true" outlineLevel="0" collapsed="false">
      <c r="A21" s="82" t="s">
        <v>344</v>
      </c>
      <c r="B21" s="83" t="s">
        <v>345</v>
      </c>
      <c r="C21" s="84" t="s">
        <v>346</v>
      </c>
    </row>
    <row r="22" customFormat="false" ht="18" hidden="false" customHeight="true" outlineLevel="0" collapsed="false">
      <c r="A22" s="79" t="s">
        <v>347</v>
      </c>
      <c r="B22" s="80" t="s">
        <v>348</v>
      </c>
      <c r="C22" s="81" t="s">
        <v>349</v>
      </c>
    </row>
    <row r="23" customFormat="false" ht="18" hidden="false" customHeight="true" outlineLevel="0" collapsed="false">
      <c r="A23" s="82" t="s">
        <v>350</v>
      </c>
      <c r="B23" s="83" t="s">
        <v>351</v>
      </c>
      <c r="C23" s="84" t="s">
        <v>352</v>
      </c>
    </row>
    <row r="25" customFormat="false" ht="19.5" hidden="false" customHeight="true" outlineLevel="0" collapsed="false">
      <c r="A25" s="37" t="s">
        <v>353</v>
      </c>
      <c r="B25" s="37"/>
      <c r="C25" s="37"/>
      <c r="D25" s="37"/>
    </row>
    <row r="26" customFormat="false" ht="18" hidden="false" customHeight="true" outlineLevel="0" collapsed="false">
      <c r="A26" s="79" t="s">
        <v>354</v>
      </c>
      <c r="B26" s="80" t="s">
        <v>355</v>
      </c>
      <c r="C26" s="81" t="s">
        <v>356</v>
      </c>
    </row>
    <row r="27" customFormat="false" ht="18" hidden="false" customHeight="true" outlineLevel="0" collapsed="false">
      <c r="A27" s="82" t="s">
        <v>357</v>
      </c>
      <c r="B27" s="83" t="s">
        <v>358</v>
      </c>
      <c r="C27" s="84" t="s">
        <v>359</v>
      </c>
    </row>
    <row r="28" customFormat="false" ht="18" hidden="false" customHeight="true" outlineLevel="0" collapsed="false">
      <c r="A28" s="79" t="s">
        <v>360</v>
      </c>
      <c r="B28" s="80" t="s">
        <v>361</v>
      </c>
      <c r="C28" s="81" t="s">
        <v>362</v>
      </c>
    </row>
    <row r="30" customFormat="false" ht="21.75" hidden="false" customHeight="true" outlineLevel="0" collapsed="false">
      <c r="A30" s="37" t="s">
        <v>363</v>
      </c>
      <c r="B30" s="37"/>
      <c r="C30" s="37"/>
      <c r="D30" s="37"/>
    </row>
    <row r="31" customFormat="false" ht="19.5" hidden="false" customHeight="true" outlineLevel="0" collapsed="false">
      <c r="A31" s="0" t="s">
        <v>364</v>
      </c>
      <c r="B31" s="87" t="s">
        <v>9</v>
      </c>
    </row>
    <row r="32" customFormat="false" ht="18" hidden="false" customHeight="true" outlineLevel="0" collapsed="false">
      <c r="A32" s="88" t="s">
        <v>19</v>
      </c>
      <c r="B32" s="89" t="s">
        <v>365</v>
      </c>
    </row>
    <row r="33" customFormat="false" ht="18" hidden="false" customHeight="true" outlineLevel="0" collapsed="false">
      <c r="A33" s="88" t="s">
        <v>366</v>
      </c>
      <c r="B33" s="89" t="s">
        <v>367</v>
      </c>
    </row>
    <row r="34" customFormat="false" ht="18" hidden="false" customHeight="true" outlineLevel="0" collapsed="false">
      <c r="A34" s="88" t="s">
        <v>20</v>
      </c>
      <c r="B34" s="89" t="s">
        <v>368</v>
      </c>
    </row>
    <row r="35" customFormat="false" ht="18" hidden="false" customHeight="true" outlineLevel="0" collapsed="false">
      <c r="A35" s="88" t="s">
        <v>21</v>
      </c>
      <c r="B35" s="89" t="s">
        <v>369</v>
      </c>
    </row>
    <row r="36" customFormat="false" ht="18" hidden="false" customHeight="true" outlineLevel="0" collapsed="false">
      <c r="A36" s="88" t="s">
        <v>97</v>
      </c>
      <c r="B36" s="89" t="s">
        <v>370</v>
      </c>
    </row>
    <row r="37" customFormat="false" ht="18" hidden="false" customHeight="true" outlineLevel="0" collapsed="false">
      <c r="A37" s="88" t="s">
        <v>371</v>
      </c>
      <c r="B37" s="89" t="s">
        <v>372</v>
      </c>
    </row>
  </sheetData>
  <mergeCells count="6">
    <mergeCell ref="A1:D1"/>
    <mergeCell ref="A3:D3"/>
    <mergeCell ref="A10:D10"/>
    <mergeCell ref="A19:D19"/>
    <mergeCell ref="A25:D25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2026-05-28T05:11:17Z</dcterms:created>
  <dc:creator>openpyxl</dc:creator>
  <dc:description/>
  <dc:language>en-US</dc:language>
  <cp:lastModifiedBy/>
  <dcterms:modified xsi:type="dcterms:W3CDTF">2026-05-28T05:11:17Z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